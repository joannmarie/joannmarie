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bacungan ES-Q1" sheetId="1" r:id="rId5"/>
    <sheet state="visible" name="Cabacungan ES-Q2" sheetId="2" r:id="rId6"/>
    <sheet state="visible" name="UACS" sheetId="3" r:id="rId7"/>
  </sheets>
  <definedNames/>
  <calcPr/>
</workbook>
</file>

<file path=xl/sharedStrings.xml><?xml version="1.0" encoding="utf-8"?>
<sst xmlns="http://schemas.openxmlformats.org/spreadsheetml/2006/main" count="248" uniqueCount="139">
  <si>
    <t>DEPED LEYTE DIVISION</t>
  </si>
  <si>
    <t>CABACUNGAN ELEMENTARY SCHOOL</t>
  </si>
  <si>
    <t>Appendix 43</t>
  </si>
  <si>
    <t>CASH DISBURSEMENTS REGISTER</t>
  </si>
  <si>
    <t>Entity Name: CABACUNGAN ELEMENTARY SCHOOL</t>
  </si>
  <si>
    <t>Name of Accountable Officer: ROSALIE C. PALAÑA</t>
  </si>
  <si>
    <t>Sub-Office/District/Division: DULAG WEST DISTRICT</t>
  </si>
  <si>
    <t>Official Designation: PRINCIPAL II</t>
  </si>
  <si>
    <t>Municipality/City/Province: DULAG, LEYTE</t>
  </si>
  <si>
    <t>Station: CABACUNGAN ES</t>
  </si>
  <si>
    <t>Fund Cluster : 01-REGULAR</t>
  </si>
  <si>
    <t>Register No. : __________________________________</t>
  </si>
  <si>
    <t>Sheet No. : ____________________________________</t>
  </si>
  <si>
    <t>Date</t>
  </si>
  <si>
    <t>DV/Payroll/ Check No.</t>
  </si>
  <si>
    <t>Particulars</t>
  </si>
  <si>
    <t>Advances for 
 Operating Expenses</t>
  </si>
  <si>
    <t>BREAKDOWN OF PAYMENTS</t>
  </si>
  <si>
    <t>Amount</t>
  </si>
  <si>
    <t>Office Supplies Expenses</t>
  </si>
  <si>
    <t>Other General Services</t>
  </si>
  <si>
    <t>Janitorial Services</t>
  </si>
  <si>
    <t>O T H E R S</t>
  </si>
  <si>
    <t>Cash Advance</t>
  </si>
  <si>
    <t>Payments</t>
  </si>
  <si>
    <t>Balance</t>
  </si>
  <si>
    <t>Account Description</t>
  </si>
  <si>
    <t>UACS Object Code</t>
  </si>
  <si>
    <t>Advances for Operating Expenses-1st Quarter MOOE</t>
  </si>
  <si>
    <t>2026-02-001 1496368</t>
  </si>
  <si>
    <t>Payment for Janitorial Services for the month of January 2026</t>
  </si>
  <si>
    <t>2026-02-002 1496369</t>
  </si>
  <si>
    <t>2026-02-003 1496370</t>
  </si>
  <si>
    <t>Payment for watchman for the month of January 2026</t>
  </si>
  <si>
    <t>2026-02-004 1496371</t>
  </si>
  <si>
    <t>Payment for labor of lawn mower for the month of January 2026</t>
  </si>
  <si>
    <t>2026-02-005 1496372</t>
  </si>
  <si>
    <t>Payment for Internet Services for the month of  January 2026</t>
  </si>
  <si>
    <t>Internet Subcription Expenses</t>
  </si>
  <si>
    <t>2026-02-006 1496373</t>
  </si>
  <si>
    <t>Payment for Electricity Expenses for the month of January 2026</t>
  </si>
  <si>
    <t>Electricity Expenses</t>
  </si>
  <si>
    <t>2026-02-007 1496374</t>
  </si>
  <si>
    <t>Reimbursement of travel expenses of Jo Ann Marie Cagara for the month of January 2026</t>
  </si>
  <si>
    <t>Travelling Expenses-Local</t>
  </si>
  <si>
    <t>2026-02-008 1496375</t>
  </si>
  <si>
    <t>Payment for the purchase of office supplies</t>
  </si>
  <si>
    <t>2026-02-009 1496376</t>
  </si>
  <si>
    <t>2026-02-010 1496377</t>
  </si>
  <si>
    <t>Payment for the purchase of 3 TVs.</t>
  </si>
  <si>
    <t>Other Supplies and Materials Expenses</t>
  </si>
  <si>
    <t>2026-02-011 1496378</t>
  </si>
  <si>
    <t>Payment for Internet Services for the month of  February 2026</t>
  </si>
  <si>
    <t>2026-02-012 1496379</t>
  </si>
  <si>
    <t>Payment for Electricity Expenses for the month of February 2026</t>
  </si>
  <si>
    <t>2026-02-013 1496380</t>
  </si>
  <si>
    <t>2026-02-014 1496381</t>
  </si>
  <si>
    <t>2026-02-015 1496382</t>
  </si>
  <si>
    <t>2026-02-016 1496384</t>
  </si>
  <si>
    <t>Payment for labor of lawn mower for the month of February 2026</t>
  </si>
  <si>
    <t>2026-03-017 1496385</t>
  </si>
  <si>
    <t>Reimbursement various expenses</t>
  </si>
  <si>
    <t>Accountable Forms</t>
  </si>
  <si>
    <t>Printing and Publication Expenses</t>
  </si>
  <si>
    <t>2026-03-018 1496386</t>
  </si>
  <si>
    <t>Reimbursement of travel expenses of Jo Ann Marie Cagara for the month of February 2026</t>
  </si>
  <si>
    <t>2026-03-019 1496387</t>
  </si>
  <si>
    <t>Reimbursement of Training Expenses of ROSALIE C. PALAÑA for the Month of February and March 2026.</t>
  </si>
  <si>
    <t>Training Expenses</t>
  </si>
  <si>
    <t>2026-03-020 1496389</t>
  </si>
  <si>
    <t>Payment for the purchase of 2 unit Fire Extinguisher</t>
  </si>
  <si>
    <t>2026-03-021 1496390</t>
  </si>
  <si>
    <t>Payment for 4 printer repairs</t>
  </si>
  <si>
    <t>Repairs and Maintenance-Office Equipment</t>
  </si>
  <si>
    <t>2026-03-022 1496391</t>
  </si>
  <si>
    <t>Payment for Internet Services for the month of  MARCH 2026</t>
  </si>
  <si>
    <t>2026-03-023 1496392</t>
  </si>
  <si>
    <t>Payment for Electricity Expenses for the month of MARCH 2026</t>
  </si>
  <si>
    <t>2026-03-024 1496393</t>
  </si>
  <si>
    <t>Reimbursement of travel expenses of Jo Ann Marie Cagara for the month of March 2026</t>
  </si>
  <si>
    <t>2026-03-025 1496394</t>
  </si>
  <si>
    <t>Payment for the purchase of 1 TV.</t>
  </si>
  <si>
    <t>2026-03-026 1496395</t>
  </si>
  <si>
    <t>Claritee Graphics &amp; Copy Center</t>
  </si>
  <si>
    <t>2026-03-027 1496396</t>
  </si>
  <si>
    <t xml:space="preserve">Payment for Graduation &amp; Moving Up Decoration </t>
  </si>
  <si>
    <t>2026-03-028 1496397</t>
  </si>
  <si>
    <t>Payment for Janitorial Services for the month of MARCH 2026</t>
  </si>
  <si>
    <t>2026-03-029 1496398</t>
  </si>
  <si>
    <t>2026-03-030 1496399</t>
  </si>
  <si>
    <t>Payment for watchman for the month of MARCH 2026</t>
  </si>
  <si>
    <t xml:space="preserve"> </t>
  </si>
  <si>
    <t>2026-03-031 1496400</t>
  </si>
  <si>
    <t>Payment for labor of lawn mower for the month of March 2026</t>
  </si>
  <si>
    <t>2026-03-032 1545801</t>
  </si>
  <si>
    <t>Postage and Courier Services</t>
  </si>
  <si>
    <t>2026-04-033 1545802</t>
  </si>
  <si>
    <t>Payment for purchasing Office Supplies</t>
  </si>
  <si>
    <t>Totals</t>
  </si>
  <si>
    <t>Recapitulation:</t>
  </si>
  <si>
    <t>Total</t>
  </si>
  <si>
    <t>The total of the ‘Advances for Operating Expenses – Payments’ column must always be equal to the sum of the totals of the ‘Breakdown of Payments’ columns.</t>
  </si>
  <si>
    <t>CERTIFIED CORRECT:</t>
  </si>
  <si>
    <t>RECEIVED BY:</t>
  </si>
  <si>
    <t>ROSALIE C. PALAÑA</t>
  </si>
  <si>
    <t>JO ANN MARIE P. CAGARA</t>
  </si>
  <si>
    <t>Principal II</t>
  </si>
  <si>
    <t>ADAS III(Senior Bookkeeper)</t>
  </si>
  <si>
    <t>Date: ____________________</t>
  </si>
  <si>
    <t>Date: ______________________</t>
  </si>
  <si>
    <t>Advances for Operating Expenses-2nd Quarter MOOE</t>
  </si>
  <si>
    <t>2026-04-001 1545807</t>
  </si>
  <si>
    <t>Payment for Electricity Expenses for the month of APRIL 2026</t>
  </si>
  <si>
    <t>2026-04-002 1545809</t>
  </si>
  <si>
    <t>Payment for Internet Services for the month of  APRIL 2026</t>
  </si>
  <si>
    <t>2026-04-003 1545810</t>
  </si>
  <si>
    <t>Payment for labor of lawn mower for the month of APRIL 2026</t>
  </si>
  <si>
    <t>2026-04-004 1545811</t>
  </si>
  <si>
    <t>Payment for watchman for the month of APRIL 2026</t>
  </si>
  <si>
    <t>2026-04-005 1545812</t>
  </si>
  <si>
    <t>Payment for Janitorial Services for the month of APRIL 2026</t>
  </si>
  <si>
    <t>2026-04-006 1545814</t>
  </si>
  <si>
    <t>2026-05-007 1545815</t>
  </si>
  <si>
    <t>Payment for the purchase of Office Chair</t>
  </si>
  <si>
    <t>2026-05-008 1545817</t>
  </si>
  <si>
    <t>Reimbursement of Training Expenses of ROSALIE C. PALAÑA for the Month of April 2026.</t>
  </si>
  <si>
    <t xml:space="preserve">2026- 05-009 </t>
  </si>
  <si>
    <t>Reimbursement of Training Expenses of JERALYN S. PEQUE and FERLYN L. CALDA for the Month of May 2026.</t>
  </si>
  <si>
    <t>Drugs and Medicines Expenses</t>
  </si>
  <si>
    <t>Fuel, Oil and Lubricant Expenses</t>
  </si>
  <si>
    <t>Water Expenses</t>
  </si>
  <si>
    <t>Telephone Expenses-Mobile</t>
  </si>
  <si>
    <t>Security Services</t>
  </si>
  <si>
    <t>Repairs and Maintenance-School Buidling</t>
  </si>
  <si>
    <t>Fidelity Bond Premiums</t>
  </si>
  <si>
    <t>ACCOUNT TITLE</t>
  </si>
  <si>
    <t>UACS</t>
  </si>
  <si>
    <t>Cable, Satellite, Telegraph and Radio Expenses</t>
  </si>
  <si>
    <t>Other Professional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</si>
</sst>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3">
    <font>
      <sz val="10.0"/>
      <color rgb="FF000000"/>
      <name val="Arial"/>
      <scheme val="minor"/>
    </font>
    <font>
      <sz val="13.0"/>
      <color theme="1"/>
      <name val="Arial"/>
      <scheme val="minor"/>
    </font>
    <font>
      <color theme="1"/>
      <name val="&quot;Times New Roman&quot;"/>
    </font>
    <font>
      <i/>
      <sz val="14.0"/>
      <color theme="1"/>
      <name val="&quot;Times New Roman&quot;"/>
    </font>
    <font>
      <b/>
      <sz val="14.0"/>
      <color theme="1"/>
      <name val="&quot;Times New Roman&quot;"/>
    </font>
    <font>
      <sz val="14.0"/>
      <color theme="1"/>
      <name val="&quot;Times New Roman&quot;"/>
    </font>
    <font>
      <b/>
      <sz val="11.0"/>
      <color theme="1"/>
      <name val="&quot;Times New Roman&quot;"/>
    </font>
    <font>
      <sz val="11.0"/>
      <color theme="1"/>
      <name val="&quot;Times New Roman&quot;"/>
    </font>
    <font/>
    <font>
      <b/>
      <color theme="1"/>
      <name val="&quot;Times New Roman&quot;"/>
    </font>
    <font>
      <sz val="8.0"/>
      <color theme="1"/>
      <name val="&quot;Times New Roman&quot;"/>
    </font>
    <font>
      <b/>
      <sz val="10.0"/>
      <color theme="1"/>
      <name val="&quot;Times New Roman&quot;"/>
    </font>
    <font>
      <sz val="10.0"/>
      <color theme="1"/>
      <name val="&quot;Times New Roman&quot;"/>
    </font>
    <font>
      <sz val="10.0"/>
      <color theme="1"/>
      <name val="Times New Roman"/>
    </font>
    <font>
      <sz val="10.0"/>
      <color rgb="FF000000"/>
      <name val="Times New Roman"/>
    </font>
    <font>
      <sz val="10.0"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Times New Roman"/>
    </font>
    <font>
      <b/>
      <sz val="9.0"/>
      <color theme="1"/>
      <name val="&quot;Times New Roman&quot;"/>
    </font>
    <font>
      <sz val="9.0"/>
      <color theme="1"/>
      <name val="&quot;Times New Roman&quot;"/>
    </font>
    <font>
      <b/>
      <sz val="8.0"/>
      <color theme="1"/>
      <name val="&quot;Times New Roman&quot;"/>
    </font>
    <font>
      <b/>
      <u/>
      <sz val="11.0"/>
      <color theme="1"/>
      <name val="&quot;Times New Roman&quot;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thin">
        <color rgb="FF000000"/>
      </left>
    </border>
    <border>
      <right style="double">
        <color rgb="FF000000"/>
      </right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wrapText="0"/>
    </xf>
    <xf borderId="0" fillId="0" fontId="3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 shrinkToFit="0" wrapText="1"/>
    </xf>
    <xf borderId="2" fillId="0" fontId="6" numFmtId="0" xfId="0" applyAlignment="1" applyBorder="1" applyFont="1">
      <alignment horizontal="center" readingOrder="0" vertical="bottom"/>
    </xf>
    <xf borderId="2" fillId="0" fontId="8" numFmtId="0" xfId="0" applyBorder="1" applyFont="1"/>
    <xf borderId="3" fillId="0" fontId="8" numFmtId="0" xfId="0" applyBorder="1" applyFont="1"/>
    <xf borderId="2" fillId="0" fontId="6" numFmtId="0" xfId="0" applyAlignment="1" applyBorder="1" applyFont="1">
      <alignment horizontal="center" readingOrder="0" shrinkToFit="0" wrapText="0"/>
    </xf>
    <xf borderId="4" fillId="0" fontId="8" numFmtId="0" xfId="0" applyBorder="1" applyFont="1"/>
    <xf borderId="5" fillId="0" fontId="7" numFmtId="0" xfId="0" applyAlignment="1" applyBorder="1" applyFont="1">
      <alignment horizontal="center" readingOrder="0" shrinkToFit="0" wrapText="0"/>
    </xf>
    <xf borderId="5" fillId="0" fontId="8" numFmtId="0" xfId="0" applyBorder="1" applyFont="1"/>
    <xf borderId="6" fillId="0" fontId="8" numFmtId="0" xfId="0" applyBorder="1" applyFont="1"/>
    <xf borderId="0" fillId="0" fontId="9" numFmtId="0" xfId="0" applyAlignment="1" applyFont="1">
      <alignment shrinkToFit="0" vertical="bottom" wrapText="0"/>
    </xf>
    <xf borderId="7" fillId="0" fontId="7" numFmtId="0" xfId="0" applyAlignment="1" applyBorder="1" applyFont="1">
      <alignment horizontal="center" readingOrder="0"/>
    </xf>
    <xf borderId="7" fillId="0" fontId="8" numFmtId="0" xfId="0" applyBorder="1" applyFont="1"/>
    <xf borderId="8" fillId="0" fontId="8" numFmtId="0" xfId="0" applyBorder="1" applyFont="1"/>
    <xf borderId="9" fillId="0" fontId="7" numFmtId="0" xfId="0" applyAlignment="1" applyBorder="1" applyFont="1">
      <alignment horizontal="center" readingOrder="0" shrinkToFit="0" wrapText="1"/>
    </xf>
    <xf borderId="4" fillId="0" fontId="7" numFmtId="0" xfId="0" applyAlignment="1" applyBorder="1" applyFont="1">
      <alignment horizontal="center" readingOrder="0" shrinkToFit="0" wrapText="1"/>
    </xf>
    <xf borderId="7" fillId="0" fontId="7" numFmtId="0" xfId="0" applyAlignment="1" applyBorder="1" applyFont="1">
      <alignment horizontal="center" readingOrder="0" shrinkToFit="0" wrapText="0"/>
    </xf>
    <xf borderId="4" fillId="0" fontId="7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 vertical="top"/>
    </xf>
    <xf borderId="9" fillId="0" fontId="7" numFmtId="0" xfId="0" applyAlignment="1" applyBorder="1" applyFont="1">
      <alignment horizontal="center" readingOrder="0" shrinkToFit="0" wrapText="0"/>
    </xf>
    <xf borderId="10" fillId="0" fontId="8" numFmtId="0" xfId="0" applyBorder="1" applyFont="1"/>
    <xf borderId="4" fillId="0" fontId="7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wrapText="1"/>
    </xf>
    <xf borderId="0" fillId="0" fontId="10" numFmtId="0" xfId="0" applyAlignment="1" applyFont="1">
      <alignment shrinkToFit="0" vertical="bottom" wrapText="0"/>
    </xf>
    <xf borderId="10" fillId="0" fontId="11" numFmtId="164" xfId="0" applyAlignment="1" applyBorder="1" applyFont="1" applyNumberFormat="1">
      <alignment horizontal="center" readingOrder="0" shrinkToFit="0" vertical="bottom" wrapText="0"/>
    </xf>
    <xf borderId="6" fillId="0" fontId="11" numFmtId="0" xfId="0" applyAlignment="1" applyBorder="1" applyFont="1">
      <alignment horizontal="center" readingOrder="0" shrinkToFit="0" vertical="bottom" wrapText="0"/>
    </xf>
    <xf borderId="6" fillId="0" fontId="11" numFmtId="0" xfId="0" applyAlignment="1" applyBorder="1" applyFont="1">
      <alignment readingOrder="0" shrinkToFit="0" vertical="bottom" wrapText="1"/>
    </xf>
    <xf borderId="6" fillId="0" fontId="11" numFmtId="4" xfId="0" applyAlignment="1" applyBorder="1" applyFont="1" applyNumberFormat="1">
      <alignment horizontal="center" readingOrder="0"/>
    </xf>
    <xf borderId="6" fillId="0" fontId="11" numFmtId="0" xfId="0" applyAlignment="1" applyBorder="1" applyFont="1">
      <alignment horizontal="center"/>
    </xf>
    <xf borderId="6" fillId="0" fontId="12" numFmtId="0" xfId="0" applyAlignment="1" applyBorder="1" applyFont="1">
      <alignment horizontal="center"/>
    </xf>
    <xf borderId="6" fillId="0" fontId="12" numFmtId="0" xfId="0" applyAlignment="1" applyBorder="1" applyFont="1">
      <alignment horizontal="left"/>
    </xf>
    <xf borderId="6" fillId="0" fontId="13" numFmtId="0" xfId="0" applyAlignment="1" applyBorder="1" applyFont="1">
      <alignment horizontal="center"/>
    </xf>
    <xf borderId="10" fillId="0" fontId="13" numFmtId="164" xfId="0" applyAlignment="1" applyBorder="1" applyFont="1" applyNumberFormat="1">
      <alignment horizontal="center" readingOrder="0" shrinkToFit="0" vertical="bottom" wrapText="0"/>
    </xf>
    <xf borderId="6" fillId="0" fontId="13" numFmtId="0" xfId="0" applyAlignment="1" applyBorder="1" applyFont="1">
      <alignment horizontal="center" readingOrder="0" shrinkToFit="0" vertical="bottom" wrapText="1"/>
    </xf>
    <xf borderId="6" fillId="0" fontId="13" numFmtId="0" xfId="0" applyAlignment="1" applyBorder="1" applyFont="1">
      <alignment readingOrder="0" shrinkToFit="0" vertical="bottom" wrapText="1"/>
    </xf>
    <xf borderId="6" fillId="0" fontId="13" numFmtId="0" xfId="0" applyAlignment="1" applyBorder="1" applyFont="1">
      <alignment horizontal="left"/>
    </xf>
    <xf borderId="6" fillId="0" fontId="13" numFmtId="4" xfId="0" applyAlignment="1" applyBorder="1" applyFont="1" applyNumberFormat="1">
      <alignment horizontal="center" readingOrder="0"/>
    </xf>
    <xf borderId="6" fillId="0" fontId="13" numFmtId="4" xfId="0" applyAlignment="1" applyBorder="1" applyFont="1" applyNumberFormat="1">
      <alignment horizontal="center"/>
    </xf>
    <xf borderId="6" fillId="0" fontId="13" numFmtId="0" xfId="0" applyAlignment="1" applyBorder="1" applyFont="1">
      <alignment horizontal="center" readingOrder="0" shrinkToFit="0" vertical="center" wrapText="1"/>
    </xf>
    <xf borderId="11" fillId="0" fontId="13" numFmtId="0" xfId="0" applyAlignment="1" applyBorder="1" applyFont="1">
      <alignment horizontal="left" readingOrder="0" shrinkToFit="0" wrapText="1"/>
    </xf>
    <xf borderId="11" fillId="0" fontId="13" numFmtId="0" xfId="0" applyAlignment="1" applyBorder="1" applyFont="1">
      <alignment horizontal="center" readingOrder="0"/>
    </xf>
    <xf borderId="6" fillId="0" fontId="13" numFmtId="0" xfId="0" applyAlignment="1" applyBorder="1" applyFont="1">
      <alignment horizontal="left" readingOrder="0"/>
    </xf>
    <xf borderId="6" fillId="0" fontId="13" numFmtId="0" xfId="0" applyAlignment="1" applyBorder="1" applyFont="1">
      <alignment horizontal="center" readingOrder="0"/>
    </xf>
    <xf borderId="11" fillId="0" fontId="13" numFmtId="4" xfId="0" applyAlignment="1" applyBorder="1" applyFont="1" applyNumberFormat="1">
      <alignment horizontal="center" readingOrder="0"/>
    </xf>
    <xf borderId="6" fillId="0" fontId="13" numFmtId="0" xfId="0" applyAlignment="1" applyBorder="1" applyFont="1">
      <alignment readingOrder="0" shrinkToFit="0" vertical="center" wrapText="1"/>
    </xf>
    <xf borderId="6" fillId="2" fontId="14" numFmtId="4" xfId="0" applyAlignment="1" applyBorder="1" applyFill="1" applyFont="1" applyNumberFormat="1">
      <alignment horizontal="center" readingOrder="0"/>
    </xf>
    <xf borderId="6" fillId="2" fontId="13" numFmtId="4" xfId="0" applyAlignment="1" applyBorder="1" applyFont="1" applyNumberFormat="1">
      <alignment horizontal="center"/>
    </xf>
    <xf borderId="11" fillId="0" fontId="13" numFmtId="0" xfId="0" applyAlignment="1" applyBorder="1" applyFont="1">
      <alignment horizontal="left" readingOrder="0"/>
    </xf>
    <xf borderId="0" fillId="0" fontId="10" numFmtId="0" xfId="0" applyAlignment="1" applyFont="1">
      <alignment horizontal="center"/>
    </xf>
    <xf borderId="10" fillId="0" fontId="13" numFmtId="164" xfId="0" applyAlignment="1" applyBorder="1" applyFont="1" applyNumberFormat="1">
      <alignment horizontal="center" readingOrder="0" shrinkToFit="0" vertical="center" wrapText="0"/>
    </xf>
    <xf borderId="6" fillId="0" fontId="13" numFmtId="0" xfId="0" applyAlignment="1" applyBorder="1" applyFont="1">
      <alignment readingOrder="0" shrinkToFit="0" vertical="center" wrapText="0"/>
    </xf>
    <xf borderId="6" fillId="0" fontId="13" numFmtId="4" xfId="0" applyAlignment="1" applyBorder="1" applyFont="1" applyNumberFormat="1">
      <alignment horizontal="center" readingOrder="0" vertical="center"/>
    </xf>
    <xf borderId="6" fillId="0" fontId="13" numFmtId="4" xfId="0" applyAlignment="1" applyBorder="1" applyFont="1" applyNumberFormat="1">
      <alignment horizontal="center" vertical="center"/>
    </xf>
    <xf borderId="11" fillId="0" fontId="13" numFmtId="4" xfId="0" applyAlignment="1" applyBorder="1" applyFont="1" applyNumberFormat="1">
      <alignment horizontal="center"/>
    </xf>
    <xf borderId="11" fillId="0" fontId="13" numFmtId="0" xfId="0" applyAlignment="1" applyBorder="1" applyFont="1">
      <alignment horizontal="center" readingOrder="0" shrinkToFit="0" vertical="bottom" wrapText="1"/>
    </xf>
    <xf borderId="6" fillId="0" fontId="13" numFmtId="4" xfId="0" applyAlignment="1" applyBorder="1" applyFont="1" applyNumberFormat="1">
      <alignment horizontal="center" readingOrder="0" shrinkToFit="0" vertical="bottom" wrapText="1"/>
    </xf>
    <xf borderId="11" fillId="0" fontId="15" numFmtId="0" xfId="0" applyAlignment="1" applyBorder="1" applyFont="1">
      <alignment readingOrder="0"/>
    </xf>
    <xf borderId="11" fillId="0" fontId="13" numFmtId="0" xfId="0" applyAlignment="1" applyBorder="1" applyFont="1">
      <alignment readingOrder="0" shrinkToFit="0" wrapText="1"/>
    </xf>
    <xf borderId="6" fillId="0" fontId="13" numFmtId="0" xfId="0" applyAlignment="1" applyBorder="1" applyFont="1">
      <alignment horizontal="left" readingOrder="0" shrinkToFit="0" vertical="center" wrapText="1"/>
    </xf>
    <xf borderId="11" fillId="0" fontId="15" numFmtId="0" xfId="0" applyAlignment="1" applyBorder="1" applyFont="1">
      <alignment readingOrder="0" shrinkToFit="0" wrapText="1"/>
    </xf>
    <xf borderId="6" fillId="2" fontId="13" numFmtId="4" xfId="0" applyAlignment="1" applyBorder="1" applyFont="1" applyNumberFormat="1">
      <alignment horizontal="center" readingOrder="0"/>
    </xf>
    <xf borderId="11" fillId="0" fontId="16" numFmtId="0" xfId="0" applyAlignment="1" applyBorder="1" applyFont="1">
      <alignment readingOrder="0"/>
    </xf>
    <xf borderId="10" fillId="2" fontId="13" numFmtId="164" xfId="0" applyAlignment="1" applyBorder="1" applyFont="1" applyNumberFormat="1">
      <alignment horizontal="center" readingOrder="0" shrinkToFit="0" vertical="center" wrapText="0"/>
    </xf>
    <xf borderId="6" fillId="2" fontId="13" numFmtId="0" xfId="0" applyAlignment="1" applyBorder="1" applyFont="1">
      <alignment horizontal="center" readingOrder="0" shrinkToFit="0" vertical="center" wrapText="1"/>
    </xf>
    <xf borderId="6" fillId="2" fontId="13" numFmtId="0" xfId="0" applyAlignment="1" applyBorder="1" applyFont="1">
      <alignment readingOrder="0" shrinkToFit="0" vertical="bottom" wrapText="1"/>
    </xf>
    <xf borderId="6" fillId="2" fontId="13" numFmtId="0" xfId="0" applyAlignment="1" applyBorder="1" applyFont="1">
      <alignment horizontal="center"/>
    </xf>
    <xf borderId="11" fillId="2" fontId="13" numFmtId="0" xfId="0" applyAlignment="1" applyBorder="1" applyFont="1">
      <alignment horizontal="left" readingOrder="0" shrinkToFit="0" wrapText="1"/>
    </xf>
    <xf borderId="11" fillId="2" fontId="13" numFmtId="0" xfId="0" applyAlignment="1" applyBorder="1" applyFont="1">
      <alignment horizontal="center" readingOrder="0"/>
    </xf>
    <xf borderId="11" fillId="2" fontId="13" numFmtId="4" xfId="0" applyAlignment="1" applyBorder="1" applyFont="1" applyNumberFormat="1">
      <alignment horizontal="center" readingOrder="0"/>
    </xf>
    <xf borderId="0" fillId="2" fontId="2" numFmtId="0" xfId="0" applyAlignment="1" applyFont="1">
      <alignment shrinkToFit="0" vertical="bottom" wrapText="0"/>
    </xf>
    <xf borderId="11" fillId="2" fontId="13" numFmtId="0" xfId="0" applyAlignment="1" applyBorder="1" applyFont="1">
      <alignment horizontal="center"/>
    </xf>
    <xf borderId="10" fillId="0" fontId="13" numFmtId="0" xfId="0" applyAlignment="1" applyBorder="1" applyFont="1">
      <alignment horizontal="center" shrinkToFit="0" vertical="bottom" wrapText="0"/>
    </xf>
    <xf borderId="6" fillId="0" fontId="13" numFmtId="0" xfId="0" applyAlignment="1" applyBorder="1" applyFont="1">
      <alignment horizontal="center" shrinkToFit="0" vertical="bottom" wrapText="0"/>
    </xf>
    <xf borderId="6" fillId="0" fontId="13" numFmtId="0" xfId="0" applyAlignment="1" applyBorder="1" applyFont="1">
      <alignment shrinkToFit="0" vertical="bottom" wrapText="0"/>
    </xf>
    <xf borderId="11" fillId="0" fontId="13" numFmtId="0" xfId="0" applyAlignment="1" applyBorder="1" applyFont="1">
      <alignment horizontal="center"/>
    </xf>
    <xf borderId="11" fillId="0" fontId="15" numFmtId="0" xfId="0" applyAlignment="1" applyBorder="1" applyFont="1">
      <alignment horizontal="center" readingOrder="0"/>
    </xf>
    <xf borderId="6" fillId="2" fontId="13" numFmtId="0" xfId="0" applyAlignment="1" applyBorder="1" applyFont="1">
      <alignment horizontal="center" readingOrder="0" shrinkToFit="0" vertical="center" wrapText="0"/>
    </xf>
    <xf borderId="10" fillId="0" fontId="10" numFmtId="0" xfId="0" applyAlignment="1" applyBorder="1" applyFont="1">
      <alignment horizontal="center" shrinkToFit="0" vertical="bottom" wrapText="0"/>
    </xf>
    <xf borderId="6" fillId="0" fontId="10" numFmtId="0" xfId="0" applyAlignment="1" applyBorder="1" applyFont="1">
      <alignment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11" fillId="0" fontId="10" numFmtId="0" xfId="0" applyAlignment="1" applyBorder="1" applyFont="1">
      <alignment horizontal="center"/>
    </xf>
    <xf borderId="11" fillId="0" fontId="17" numFmtId="4" xfId="0" applyAlignment="1" applyBorder="1" applyFont="1" applyNumberFormat="1">
      <alignment horizontal="center"/>
    </xf>
    <xf borderId="6" fillId="0" fontId="17" numFmtId="4" xfId="0" applyAlignment="1" applyBorder="1" applyFont="1" applyNumberFormat="1">
      <alignment horizontal="center"/>
    </xf>
    <xf borderId="6" fillId="0" fontId="10" numFmtId="0" xfId="0" applyAlignment="1" applyBorder="1" applyFont="1">
      <alignment horizontal="center"/>
    </xf>
    <xf borderId="9" fillId="0" fontId="10" numFmtId="0" xfId="0" applyAlignment="1" applyBorder="1" applyFont="1">
      <alignment horizontal="center"/>
    </xf>
    <xf borderId="9" fillId="0" fontId="18" numFmtId="0" xfId="0" applyAlignment="1" applyBorder="1" applyFont="1">
      <alignment horizontal="left" readingOrder="0"/>
    </xf>
    <xf borderId="0" fillId="0" fontId="19" numFmtId="0" xfId="0" applyAlignment="1" applyFont="1">
      <alignment horizontal="center"/>
    </xf>
    <xf borderId="1" fillId="0" fontId="19" numFmtId="0" xfId="0" applyAlignment="1" applyBorder="1" applyFont="1">
      <alignment horizontal="center"/>
    </xf>
    <xf borderId="11" fillId="0" fontId="11" numFmtId="0" xfId="0" applyAlignment="1" applyBorder="1" applyFont="1">
      <alignment horizontal="center" readingOrder="0"/>
    </xf>
    <xf borderId="8" fillId="0" fontId="11" numFmtId="0" xfId="0" applyAlignment="1" applyBorder="1" applyFont="1">
      <alignment horizontal="center" readingOrder="0"/>
    </xf>
    <xf borderId="6" fillId="0" fontId="15" numFmtId="0" xfId="0" applyAlignment="1" applyBorder="1" applyFont="1">
      <alignment horizontal="left" readingOrder="0"/>
    </xf>
    <xf borderId="6" fillId="0" fontId="15" numFmtId="0" xfId="0" applyAlignment="1" applyBorder="1" applyFont="1">
      <alignment horizontal="center" readingOrder="0"/>
    </xf>
    <xf borderId="11" fillId="0" fontId="15" numFmtId="0" xfId="0" applyAlignment="1" applyBorder="1" applyFont="1">
      <alignment horizontal="left" readingOrder="0" shrinkToFit="0" wrapText="1"/>
    </xf>
    <xf borderId="11" fillId="0" fontId="15" numFmtId="0" xfId="0" applyAlignment="1" applyBorder="1" applyFont="1">
      <alignment horizontal="center" readingOrder="0" shrinkToFit="0" vertical="bottom" wrapText="1"/>
    </xf>
    <xf borderId="10" fillId="0" fontId="12" numFmtId="4" xfId="0" applyAlignment="1" applyBorder="1" applyFont="1" applyNumberFormat="1">
      <alignment horizontal="center" readingOrder="0"/>
    </xf>
    <xf borderId="6" fillId="0" fontId="20" numFmtId="0" xfId="0" applyAlignment="1" applyBorder="1" applyFont="1">
      <alignment horizontal="center"/>
    </xf>
    <xf borderId="6" fillId="0" fontId="11" numFmtId="0" xfId="0" applyAlignment="1" applyBorder="1" applyFont="1">
      <alignment horizontal="center" readingOrder="0"/>
    </xf>
    <xf borderId="5" fillId="0" fontId="11" numFmtId="0" xfId="0" applyAlignment="1" applyBorder="1" applyFont="1">
      <alignment horizontal="left" shrinkToFit="0" wrapText="0"/>
    </xf>
    <xf borderId="12" fillId="0" fontId="11" numFmtId="4" xfId="0" applyAlignment="1" applyBorder="1" applyFont="1" applyNumberFormat="1">
      <alignment horizontal="center"/>
    </xf>
    <xf borderId="13" fillId="0" fontId="7" numFmtId="0" xfId="0" applyAlignment="1" applyBorder="1" applyFont="1">
      <alignment horizontal="center" shrinkToFit="0" vertical="bottom" wrapText="0"/>
    </xf>
    <xf borderId="5" fillId="0" fontId="7" numFmtId="0" xfId="0" applyAlignment="1" applyBorder="1" applyFont="1">
      <alignment shrinkToFit="0" vertical="bottom" wrapText="0"/>
    </xf>
    <xf borderId="14" fillId="0" fontId="7" numFmtId="0" xfId="0" applyAlignment="1" applyBorder="1" applyFont="1">
      <alignment shrinkToFit="0" vertical="bottom" wrapText="0"/>
    </xf>
    <xf borderId="7" fillId="0" fontId="19" numFmtId="0" xfId="0" applyAlignment="1" applyBorder="1" applyFont="1">
      <alignment horizontal="left" readingOrder="0" vertical="bottom"/>
    </xf>
    <xf borderId="15" fillId="0" fontId="7" numFmtId="0" xfId="0" applyAlignment="1" applyBorder="1" applyFont="1">
      <alignment horizontal="center" shrinkToFit="0" vertical="bottom" wrapText="0"/>
    </xf>
    <xf borderId="16" fillId="0" fontId="7" numFmtId="0" xfId="0" applyAlignment="1" applyBorder="1" applyFont="1">
      <alignment shrinkToFit="0" vertical="bottom" wrapText="0"/>
    </xf>
    <xf borderId="9" fillId="0" fontId="7" numFmtId="0" xfId="0" applyAlignment="1" applyBorder="1" applyFont="1">
      <alignment shrinkToFit="0" vertical="bottom" wrapText="0"/>
    </xf>
    <xf borderId="15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21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readingOrder="0" shrinkToFit="0" vertical="bottom" wrapText="0"/>
    </xf>
    <xf borderId="5" fillId="0" fontId="7" numFmtId="0" xfId="0" applyAlignment="1" applyBorder="1" applyFont="1">
      <alignment horizontal="left" readingOrder="0" shrinkToFit="0" vertical="bottom" wrapText="0"/>
    </xf>
    <xf borderId="6" fillId="0" fontId="7" numFmtId="0" xfId="0" applyAlignment="1" applyBorder="1" applyFont="1">
      <alignment shrinkToFit="0" vertical="bottom" wrapText="0"/>
    </xf>
    <xf borderId="10" fillId="0" fontId="11" numFmtId="164" xfId="0" applyAlignment="1" applyBorder="1" applyFont="1" applyNumberFormat="1">
      <alignment horizontal="center" readingOrder="0" shrinkToFit="0" vertical="center" wrapText="0"/>
    </xf>
    <xf borderId="6" fillId="0" fontId="11" numFmtId="0" xfId="0" applyAlignment="1" applyBorder="1" applyFont="1">
      <alignment horizontal="center" readingOrder="0" shrinkToFit="0" vertical="center" wrapText="0"/>
    </xf>
    <xf borderId="11" fillId="0" fontId="22" numFmtId="0" xfId="0" applyAlignment="1" applyBorder="1" applyFont="1">
      <alignment vertical="bottom"/>
    </xf>
    <xf borderId="11" fillId="0" fontId="22" numFmtId="0" xfId="0" applyAlignment="1" applyBorder="1" applyFont="1">
      <alignment horizontal="center" vertical="bottom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2.13"/>
    <col customWidth="1" min="3" max="3" width="25.25"/>
    <col customWidth="1" min="4" max="4" width="14.13"/>
    <col customWidth="1" min="7" max="7" width="15.25"/>
    <col customWidth="1" min="10" max="10" width="27.5"/>
    <col customWidth="1" min="11" max="11" width="12.75"/>
  </cols>
  <sheetData>
    <row r="2">
      <c r="A2" s="1" t="s">
        <v>0</v>
      </c>
    </row>
    <row r="3">
      <c r="A3" s="2" t="s">
        <v>1</v>
      </c>
    </row>
    <row r="4">
      <c r="A4" s="3"/>
      <c r="B4" s="3"/>
      <c r="C4" s="4"/>
      <c r="D4" s="4"/>
      <c r="E4" s="4"/>
      <c r="F4" s="4"/>
      <c r="G4" s="4"/>
      <c r="H4" s="4"/>
      <c r="I4" s="4"/>
      <c r="J4" s="5" t="s">
        <v>2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>
      <c r="A5" s="3"/>
      <c r="B5" s="3"/>
      <c r="C5" s="4"/>
      <c r="D5" s="4"/>
      <c r="E5" s="4"/>
      <c r="F5" s="4"/>
      <c r="G5" s="4"/>
      <c r="H5" s="4"/>
      <c r="I5" s="4"/>
      <c r="J5" s="6"/>
      <c r="K5" s="6"/>
      <c r="L5" s="6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>
      <c r="A6" s="7" t="s">
        <v>3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</row>
    <row r="7">
      <c r="A7" s="9"/>
      <c r="B7" s="9"/>
      <c r="C7" s="9"/>
      <c r="D7" s="9"/>
      <c r="E7" s="10"/>
      <c r="F7" s="10"/>
      <c r="G7" s="10"/>
      <c r="H7" s="10"/>
      <c r="I7" s="10"/>
      <c r="J7" s="10"/>
      <c r="K7" s="10"/>
      <c r="L7" s="10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>
      <c r="A8" s="11" t="s">
        <v>4</v>
      </c>
      <c r="E8" s="12"/>
      <c r="F8" s="9"/>
      <c r="G8" s="12"/>
      <c r="H8" s="12"/>
      <c r="I8" s="11" t="s">
        <v>5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>
      <c r="A9" s="11" t="s">
        <v>6</v>
      </c>
      <c r="E9" s="12"/>
      <c r="F9" s="12"/>
      <c r="G9" s="12"/>
      <c r="H9" s="12"/>
      <c r="I9" s="11" t="s">
        <v>7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>
      <c r="A10" s="11" t="s">
        <v>8</v>
      </c>
      <c r="E10" s="12"/>
      <c r="F10" s="12"/>
      <c r="G10" s="12"/>
      <c r="H10" s="12"/>
      <c r="I10" s="11" t="s">
        <v>9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>
      <c r="A11" s="11" t="s">
        <v>10</v>
      </c>
      <c r="E11" s="12"/>
      <c r="F11" s="12"/>
      <c r="G11" s="12"/>
      <c r="H11" s="12"/>
      <c r="I11" s="11" t="s">
        <v>11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>
      <c r="A12" s="8"/>
      <c r="B12" s="9"/>
      <c r="C12" s="9"/>
      <c r="D12" s="9"/>
      <c r="E12" s="12"/>
      <c r="F12" s="9"/>
      <c r="G12" s="12"/>
      <c r="H12" s="12"/>
      <c r="I12" s="11" t="s">
        <v>12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>
      <c r="A13" s="12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3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>
      <c r="A14" s="15" t="s">
        <v>13</v>
      </c>
      <c r="B14" s="16" t="s">
        <v>14</v>
      </c>
      <c r="C14" s="15" t="s">
        <v>15</v>
      </c>
      <c r="D14" s="17" t="s">
        <v>16</v>
      </c>
      <c r="E14" s="18"/>
      <c r="F14" s="19"/>
      <c r="G14" s="20" t="s">
        <v>17</v>
      </c>
      <c r="H14" s="18"/>
      <c r="I14" s="18"/>
      <c r="J14" s="18"/>
      <c r="K14" s="18"/>
      <c r="L14" s="19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>
      <c r="A15" s="21"/>
      <c r="B15" s="21"/>
      <c r="C15" s="21"/>
      <c r="D15" s="22">
        <v>-1.990101E7</v>
      </c>
      <c r="E15" s="23"/>
      <c r="F15" s="24"/>
      <c r="G15" s="23"/>
      <c r="H15" s="23"/>
      <c r="I15" s="23"/>
      <c r="J15" s="23"/>
      <c r="K15" s="23"/>
      <c r="L15" s="24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</row>
    <row r="16">
      <c r="A16" s="21"/>
      <c r="B16" s="21"/>
      <c r="C16" s="21"/>
      <c r="D16" s="26" t="s">
        <v>18</v>
      </c>
      <c r="E16" s="27"/>
      <c r="F16" s="28"/>
      <c r="G16" s="29" t="s">
        <v>19</v>
      </c>
      <c r="H16" s="30" t="s">
        <v>20</v>
      </c>
      <c r="I16" s="29" t="s">
        <v>21</v>
      </c>
      <c r="J16" s="31" t="s">
        <v>22</v>
      </c>
      <c r="K16" s="27"/>
      <c r="L16" s="28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</row>
    <row r="17">
      <c r="A17" s="21"/>
      <c r="B17" s="21"/>
      <c r="C17" s="21"/>
      <c r="D17" s="32" t="s">
        <v>23</v>
      </c>
      <c r="E17" s="33" t="s">
        <v>24</v>
      </c>
      <c r="F17" s="34" t="s">
        <v>25</v>
      </c>
      <c r="G17" s="24"/>
      <c r="H17" s="35"/>
      <c r="I17" s="24"/>
      <c r="J17" s="30" t="s">
        <v>26</v>
      </c>
      <c r="K17" s="36" t="s">
        <v>27</v>
      </c>
      <c r="L17" s="34" t="s">
        <v>18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</row>
    <row r="18">
      <c r="A18" s="35"/>
      <c r="B18" s="35"/>
      <c r="C18" s="35"/>
      <c r="D18" s="35"/>
      <c r="E18" s="35"/>
      <c r="F18" s="24"/>
      <c r="G18" s="37">
        <v>5.020301E9</v>
      </c>
      <c r="H18" s="37">
        <v>5.021299E9</v>
      </c>
      <c r="I18" s="37">
        <v>5.021202E9</v>
      </c>
      <c r="J18" s="35"/>
      <c r="K18" s="35"/>
      <c r="L18" s="24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</row>
    <row r="19" ht="27.75" customHeight="1">
      <c r="A19" s="39">
        <v>46051.0</v>
      </c>
      <c r="B19" s="40">
        <v>2626003.0</v>
      </c>
      <c r="C19" s="41" t="s">
        <v>28</v>
      </c>
      <c r="D19" s="42">
        <v>253750.0</v>
      </c>
      <c r="E19" s="43"/>
      <c r="F19" s="42">
        <v>253750.0</v>
      </c>
      <c r="G19" s="44"/>
      <c r="H19" s="44"/>
      <c r="I19" s="44"/>
      <c r="J19" s="45"/>
      <c r="K19" s="46"/>
      <c r="L19" s="4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</row>
    <row r="20">
      <c r="A20" s="47">
        <v>46059.0</v>
      </c>
      <c r="B20" s="48" t="s">
        <v>29</v>
      </c>
      <c r="C20" s="49" t="s">
        <v>30</v>
      </c>
      <c r="D20" s="50"/>
      <c r="E20" s="51">
        <v>4000.0</v>
      </c>
      <c r="F20" s="52">
        <f t="shared" ref="F20:F52" si="1">F19-E20</f>
        <v>249750</v>
      </c>
      <c r="G20" s="52"/>
      <c r="H20" s="52"/>
      <c r="I20" s="51">
        <v>4000.0</v>
      </c>
      <c r="J20" s="50"/>
      <c r="K20" s="46"/>
      <c r="L20" s="4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</row>
    <row r="21">
      <c r="A21" s="47">
        <v>46059.0</v>
      </c>
      <c r="B21" s="48" t="s">
        <v>31</v>
      </c>
      <c r="C21" s="49" t="s">
        <v>30</v>
      </c>
      <c r="D21" s="50"/>
      <c r="E21" s="51">
        <v>3000.0</v>
      </c>
      <c r="F21" s="52">
        <f t="shared" si="1"/>
        <v>246750</v>
      </c>
      <c r="G21" s="52"/>
      <c r="H21" s="52"/>
      <c r="I21" s="51">
        <v>3000.0</v>
      </c>
      <c r="J21" s="50"/>
      <c r="K21" s="46"/>
      <c r="L21" s="4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</row>
    <row r="22">
      <c r="A22" s="47">
        <v>46059.0</v>
      </c>
      <c r="B22" s="48" t="s">
        <v>32</v>
      </c>
      <c r="C22" s="49" t="s">
        <v>33</v>
      </c>
      <c r="D22" s="50"/>
      <c r="E22" s="51">
        <v>4000.0</v>
      </c>
      <c r="F22" s="52">
        <f t="shared" si="1"/>
        <v>242750</v>
      </c>
      <c r="G22" s="52"/>
      <c r="H22" s="51">
        <v>4000.0</v>
      </c>
      <c r="I22" s="52"/>
      <c r="J22" s="50"/>
      <c r="K22" s="46"/>
      <c r="L22" s="46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</row>
    <row r="23">
      <c r="A23" s="47">
        <v>46059.0</v>
      </c>
      <c r="B23" s="48" t="s">
        <v>34</v>
      </c>
      <c r="C23" s="49" t="s">
        <v>35</v>
      </c>
      <c r="D23" s="50"/>
      <c r="E23" s="51">
        <v>7000.0</v>
      </c>
      <c r="F23" s="52">
        <f t="shared" si="1"/>
        <v>235750</v>
      </c>
      <c r="G23" s="52"/>
      <c r="H23" s="51">
        <v>7000.0</v>
      </c>
      <c r="I23" s="52"/>
      <c r="J23" s="50"/>
      <c r="K23" s="46"/>
      <c r="L23" s="46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</row>
    <row r="24">
      <c r="A24" s="47">
        <v>46059.0</v>
      </c>
      <c r="B24" s="53" t="s">
        <v>36</v>
      </c>
      <c r="C24" s="49" t="s">
        <v>37</v>
      </c>
      <c r="D24" s="50"/>
      <c r="E24" s="51">
        <v>2999.0</v>
      </c>
      <c r="F24" s="52">
        <f t="shared" si="1"/>
        <v>232751</v>
      </c>
      <c r="G24" s="52"/>
      <c r="H24" s="52"/>
      <c r="I24" s="52"/>
      <c r="J24" s="54" t="s">
        <v>38</v>
      </c>
      <c r="K24" s="55">
        <v>5.020503E9</v>
      </c>
      <c r="L24" s="51">
        <v>2999.0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</row>
    <row r="25">
      <c r="A25" s="47">
        <v>46059.0</v>
      </c>
      <c r="B25" s="48" t="s">
        <v>39</v>
      </c>
      <c r="C25" s="49" t="s">
        <v>40</v>
      </c>
      <c r="D25" s="50"/>
      <c r="E25" s="51">
        <v>8871.55</v>
      </c>
      <c r="F25" s="52">
        <f t="shared" si="1"/>
        <v>223879.45</v>
      </c>
      <c r="G25" s="52"/>
      <c r="H25" s="52"/>
      <c r="I25" s="52"/>
      <c r="J25" s="56" t="s">
        <v>41</v>
      </c>
      <c r="K25" s="57">
        <v>5.020402E9</v>
      </c>
      <c r="L25" s="51">
        <v>8871.55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</row>
    <row r="26">
      <c r="A26" s="47">
        <v>46065.0</v>
      </c>
      <c r="B26" s="48" t="s">
        <v>42</v>
      </c>
      <c r="C26" s="49" t="s">
        <v>43</v>
      </c>
      <c r="D26" s="50"/>
      <c r="E26" s="51">
        <v>1020.0</v>
      </c>
      <c r="F26" s="52">
        <f t="shared" si="1"/>
        <v>222859.45</v>
      </c>
      <c r="G26" s="52"/>
      <c r="H26" s="52"/>
      <c r="I26" s="52"/>
      <c r="J26" s="54" t="s">
        <v>44</v>
      </c>
      <c r="K26" s="55">
        <v>5.020101E9</v>
      </c>
      <c r="L26" s="58">
        <v>1020.0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</row>
    <row r="27">
      <c r="A27" s="47">
        <v>46067.0</v>
      </c>
      <c r="B27" s="53" t="s">
        <v>45</v>
      </c>
      <c r="C27" s="59" t="s">
        <v>46</v>
      </c>
      <c r="D27" s="50"/>
      <c r="E27" s="51">
        <v>42020.0</v>
      </c>
      <c r="F27" s="52">
        <f t="shared" si="1"/>
        <v>180839.45</v>
      </c>
      <c r="G27" s="51">
        <v>42020.0</v>
      </c>
      <c r="H27" s="52"/>
      <c r="I27" s="52"/>
      <c r="J27" s="50"/>
      <c r="K27" s="46"/>
      <c r="L27" s="46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</row>
    <row r="28">
      <c r="A28" s="47">
        <v>46067.0</v>
      </c>
      <c r="B28" s="53" t="s">
        <v>47</v>
      </c>
      <c r="C28" s="59" t="s">
        <v>46</v>
      </c>
      <c r="D28" s="50"/>
      <c r="E28" s="51">
        <v>8617.0</v>
      </c>
      <c r="F28" s="52">
        <f t="shared" si="1"/>
        <v>172222.45</v>
      </c>
      <c r="G28" s="60">
        <v>8617.0</v>
      </c>
      <c r="H28" s="61"/>
      <c r="I28" s="61"/>
      <c r="J28" s="54"/>
      <c r="K28" s="55"/>
      <c r="L28" s="51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</row>
    <row r="29">
      <c r="A29" s="47">
        <v>46067.0</v>
      </c>
      <c r="B29" s="53" t="s">
        <v>48</v>
      </c>
      <c r="C29" s="59" t="s">
        <v>49</v>
      </c>
      <c r="D29" s="50"/>
      <c r="E29" s="51">
        <v>52000.0</v>
      </c>
      <c r="F29" s="52">
        <f t="shared" si="1"/>
        <v>120222.45</v>
      </c>
      <c r="G29" s="52"/>
      <c r="H29" s="52"/>
      <c r="I29" s="52"/>
      <c r="J29" s="54" t="s">
        <v>50</v>
      </c>
      <c r="K29" s="55">
        <v>5.020399E9</v>
      </c>
      <c r="L29" s="51">
        <v>52000.0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</row>
    <row r="30">
      <c r="A30" s="47">
        <v>46072.0</v>
      </c>
      <c r="B30" s="53" t="s">
        <v>51</v>
      </c>
      <c r="C30" s="49" t="s">
        <v>52</v>
      </c>
      <c r="D30" s="50"/>
      <c r="E30" s="51">
        <v>2999.0</v>
      </c>
      <c r="F30" s="52">
        <f t="shared" si="1"/>
        <v>117223.45</v>
      </c>
      <c r="G30" s="52"/>
      <c r="H30" s="52"/>
      <c r="I30" s="52"/>
      <c r="J30" s="54" t="s">
        <v>38</v>
      </c>
      <c r="K30" s="55">
        <v>5.020503E9</v>
      </c>
      <c r="L30" s="51">
        <v>2999.0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>
      <c r="A31" s="47">
        <v>46076.0</v>
      </c>
      <c r="B31" s="53" t="s">
        <v>53</v>
      </c>
      <c r="C31" s="59" t="s">
        <v>54</v>
      </c>
      <c r="D31" s="50"/>
      <c r="E31" s="51">
        <v>10771.48</v>
      </c>
      <c r="F31" s="52">
        <f t="shared" si="1"/>
        <v>106451.97</v>
      </c>
      <c r="G31" s="52"/>
      <c r="H31" s="52"/>
      <c r="I31" s="52"/>
      <c r="J31" s="62" t="s">
        <v>41</v>
      </c>
      <c r="K31" s="57">
        <v>5.020402E9</v>
      </c>
      <c r="L31" s="51">
        <v>10771.48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</row>
    <row r="32">
      <c r="A32" s="47">
        <v>46080.0</v>
      </c>
      <c r="B32" s="53" t="s">
        <v>55</v>
      </c>
      <c r="C32" s="49" t="s">
        <v>30</v>
      </c>
      <c r="D32" s="50"/>
      <c r="E32" s="51">
        <v>4000.0</v>
      </c>
      <c r="F32" s="52">
        <f t="shared" si="1"/>
        <v>102451.97</v>
      </c>
      <c r="G32" s="52"/>
      <c r="H32" s="52"/>
      <c r="I32" s="51">
        <v>4000.0</v>
      </c>
      <c r="J32" s="50"/>
      <c r="K32" s="46"/>
      <c r="L32" s="46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</row>
    <row r="33">
      <c r="A33" s="47">
        <v>46080.0</v>
      </c>
      <c r="B33" s="53" t="s">
        <v>56</v>
      </c>
      <c r="C33" s="49" t="s">
        <v>30</v>
      </c>
      <c r="D33" s="46"/>
      <c r="E33" s="51">
        <v>3000.0</v>
      </c>
      <c r="F33" s="52">
        <f t="shared" si="1"/>
        <v>99451.97</v>
      </c>
      <c r="G33" s="52"/>
      <c r="H33" s="52"/>
      <c r="I33" s="51">
        <v>3000.0</v>
      </c>
      <c r="J33" s="50"/>
      <c r="K33" s="46"/>
      <c r="L33" s="46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</row>
    <row r="34">
      <c r="A34" s="47">
        <v>46080.0</v>
      </c>
      <c r="B34" s="53" t="s">
        <v>57</v>
      </c>
      <c r="C34" s="49" t="s">
        <v>33</v>
      </c>
      <c r="D34" s="46"/>
      <c r="E34" s="51">
        <v>4000.0</v>
      </c>
      <c r="F34" s="52">
        <f t="shared" si="1"/>
        <v>95451.97</v>
      </c>
      <c r="G34" s="52"/>
      <c r="H34" s="51">
        <v>4000.0</v>
      </c>
      <c r="I34" s="52"/>
      <c r="J34" s="50"/>
      <c r="K34" s="46"/>
      <c r="L34" s="46"/>
      <c r="M34" s="63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</row>
    <row r="35">
      <c r="A35" s="47">
        <v>46080.0</v>
      </c>
      <c r="B35" s="53" t="s">
        <v>58</v>
      </c>
      <c r="C35" s="49" t="s">
        <v>59</v>
      </c>
      <c r="D35" s="46"/>
      <c r="E35" s="51">
        <v>7000.0</v>
      </c>
      <c r="F35" s="52">
        <f t="shared" si="1"/>
        <v>88451.97</v>
      </c>
      <c r="G35" s="52"/>
      <c r="H35" s="51">
        <v>7000.0</v>
      </c>
      <c r="I35" s="52"/>
      <c r="J35" s="50"/>
      <c r="K35" s="46"/>
      <c r="L35" s="46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</row>
    <row r="36">
      <c r="A36" s="64">
        <v>46083.0</v>
      </c>
      <c r="B36" s="53" t="s">
        <v>60</v>
      </c>
      <c r="C36" s="65" t="s">
        <v>61</v>
      </c>
      <c r="D36" s="46"/>
      <c r="E36" s="66">
        <v>7655.0</v>
      </c>
      <c r="F36" s="67">
        <f t="shared" si="1"/>
        <v>80796.97</v>
      </c>
      <c r="G36" s="51">
        <v>5755.0</v>
      </c>
      <c r="H36" s="68"/>
      <c r="I36" s="52"/>
      <c r="J36" s="54" t="s">
        <v>62</v>
      </c>
      <c r="K36" s="69">
        <v>5.020502001E9</v>
      </c>
      <c r="L36" s="70">
        <v>1200.0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</row>
    <row r="37">
      <c r="A37" s="47"/>
      <c r="B37" s="53"/>
      <c r="C37" s="49"/>
      <c r="D37" s="46"/>
      <c r="E37" s="51"/>
      <c r="F37" s="52">
        <f t="shared" si="1"/>
        <v>80796.97</v>
      </c>
      <c r="G37" s="52"/>
      <c r="H37" s="52"/>
      <c r="I37" s="52"/>
      <c r="J37" s="54" t="s">
        <v>63</v>
      </c>
      <c r="K37" s="55">
        <v>5.029902E9</v>
      </c>
      <c r="L37" s="58">
        <v>700.0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</row>
    <row r="38">
      <c r="A38" s="64">
        <v>46085.0</v>
      </c>
      <c r="B38" s="53" t="s">
        <v>64</v>
      </c>
      <c r="C38" s="49" t="s">
        <v>65</v>
      </c>
      <c r="D38" s="46"/>
      <c r="E38" s="51">
        <v>1020.0</v>
      </c>
      <c r="F38" s="52">
        <f t="shared" si="1"/>
        <v>79776.97</v>
      </c>
      <c r="G38" s="52"/>
      <c r="H38" s="52"/>
      <c r="I38" s="52"/>
      <c r="J38" s="54" t="s">
        <v>44</v>
      </c>
      <c r="K38" s="55">
        <v>5.020101E9</v>
      </c>
      <c r="L38" s="58">
        <v>1020.0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</row>
    <row r="39">
      <c r="A39" s="64">
        <v>46094.0</v>
      </c>
      <c r="B39" s="53" t="s">
        <v>66</v>
      </c>
      <c r="C39" s="49" t="s">
        <v>67</v>
      </c>
      <c r="D39" s="46"/>
      <c r="E39" s="51">
        <v>2990.0</v>
      </c>
      <c r="F39" s="52">
        <f t="shared" si="1"/>
        <v>76786.97</v>
      </c>
      <c r="G39" s="52"/>
      <c r="H39" s="52"/>
      <c r="I39" s="52"/>
      <c r="J39" s="71" t="s">
        <v>68</v>
      </c>
      <c r="K39" s="55">
        <v>5.020201E9</v>
      </c>
      <c r="L39" s="58">
        <v>2990.0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</row>
    <row r="40">
      <c r="A40" s="64">
        <v>46098.0</v>
      </c>
      <c r="B40" s="53" t="s">
        <v>69</v>
      </c>
      <c r="C40" s="49" t="s">
        <v>70</v>
      </c>
      <c r="D40" s="46"/>
      <c r="E40" s="51">
        <v>5000.0</v>
      </c>
      <c r="F40" s="52">
        <f t="shared" si="1"/>
        <v>71786.97</v>
      </c>
      <c r="G40" s="52"/>
      <c r="H40" s="52"/>
      <c r="I40" s="52"/>
      <c r="J40" s="72" t="s">
        <v>50</v>
      </c>
      <c r="K40" s="55">
        <v>5.020399E9</v>
      </c>
      <c r="L40" s="51">
        <v>5000.0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</row>
    <row r="41">
      <c r="A41" s="64">
        <v>46099.0</v>
      </c>
      <c r="B41" s="53" t="s">
        <v>71</v>
      </c>
      <c r="C41" s="73" t="s">
        <v>72</v>
      </c>
      <c r="D41" s="46"/>
      <c r="E41" s="51">
        <v>3850.0</v>
      </c>
      <c r="F41" s="52">
        <f t="shared" si="1"/>
        <v>67936.97</v>
      </c>
      <c r="G41" s="52"/>
      <c r="H41" s="52"/>
      <c r="I41" s="52"/>
      <c r="J41" s="74" t="s">
        <v>73</v>
      </c>
      <c r="K41" s="55">
        <v>5.021305002E9</v>
      </c>
      <c r="L41" s="51">
        <v>3850.0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</row>
    <row r="42">
      <c r="A42" s="64">
        <v>46099.0</v>
      </c>
      <c r="B42" s="53" t="s">
        <v>74</v>
      </c>
      <c r="C42" s="49" t="s">
        <v>75</v>
      </c>
      <c r="D42" s="46"/>
      <c r="E42" s="51">
        <v>5503.0</v>
      </c>
      <c r="F42" s="52">
        <f t="shared" si="1"/>
        <v>62433.97</v>
      </c>
      <c r="G42" s="52"/>
      <c r="H42" s="52"/>
      <c r="I42" s="52"/>
      <c r="J42" s="54" t="s">
        <v>38</v>
      </c>
      <c r="K42" s="55">
        <v>5.020503E9</v>
      </c>
      <c r="L42" s="51">
        <v>5503.0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</row>
    <row r="43">
      <c r="A43" s="64">
        <v>46105.0</v>
      </c>
      <c r="B43" s="53" t="s">
        <v>76</v>
      </c>
      <c r="C43" s="59" t="s">
        <v>77</v>
      </c>
      <c r="D43" s="46"/>
      <c r="E43" s="51">
        <v>12518.8</v>
      </c>
      <c r="F43" s="52">
        <f t="shared" si="1"/>
        <v>49915.17</v>
      </c>
      <c r="G43" s="52"/>
      <c r="H43" s="52"/>
      <c r="I43" s="52"/>
      <c r="J43" s="62" t="s">
        <v>41</v>
      </c>
      <c r="K43" s="57">
        <v>5.020402E9</v>
      </c>
      <c r="L43" s="51">
        <v>12518.8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>
      <c r="A44" s="64">
        <v>46108.0</v>
      </c>
      <c r="B44" s="53" t="s">
        <v>78</v>
      </c>
      <c r="C44" s="49" t="s">
        <v>79</v>
      </c>
      <c r="D44" s="46"/>
      <c r="E44" s="51">
        <v>1020.0</v>
      </c>
      <c r="F44" s="52">
        <f t="shared" si="1"/>
        <v>48895.17</v>
      </c>
      <c r="G44" s="52"/>
      <c r="H44" s="52"/>
      <c r="I44" s="52"/>
      <c r="J44" s="54" t="s">
        <v>44</v>
      </c>
      <c r="K44" s="55">
        <v>5.020101E9</v>
      </c>
      <c r="L44" s="51">
        <v>1020.0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>
      <c r="A45" s="64">
        <v>46111.0</v>
      </c>
      <c r="B45" s="53" t="s">
        <v>80</v>
      </c>
      <c r="C45" s="59" t="s">
        <v>81</v>
      </c>
      <c r="D45" s="46"/>
      <c r="E45" s="51">
        <v>15000.0</v>
      </c>
      <c r="F45" s="52">
        <f t="shared" si="1"/>
        <v>33895.17</v>
      </c>
      <c r="G45" s="52"/>
      <c r="H45" s="52"/>
      <c r="I45" s="52"/>
      <c r="J45" s="54" t="s">
        <v>50</v>
      </c>
      <c r="K45" s="55">
        <v>5.020399E9</v>
      </c>
      <c r="L45" s="51">
        <v>15000.0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>
      <c r="A46" s="64">
        <v>46112.0</v>
      </c>
      <c r="B46" s="53" t="s">
        <v>82</v>
      </c>
      <c r="C46" s="49" t="s">
        <v>83</v>
      </c>
      <c r="D46" s="46"/>
      <c r="E46" s="51">
        <v>1720.0</v>
      </c>
      <c r="F46" s="52">
        <f t="shared" si="1"/>
        <v>32175.17</v>
      </c>
      <c r="G46" s="75"/>
      <c r="H46" s="52"/>
      <c r="I46" s="51"/>
      <c r="J46" s="76" t="s">
        <v>63</v>
      </c>
      <c r="K46" s="55">
        <v>5.029902E9</v>
      </c>
      <c r="L46" s="58">
        <v>1720.0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>
      <c r="A47" s="77">
        <v>46112.0</v>
      </c>
      <c r="B47" s="78" t="s">
        <v>84</v>
      </c>
      <c r="C47" s="79" t="s">
        <v>85</v>
      </c>
      <c r="D47" s="80"/>
      <c r="E47" s="75">
        <v>8000.0</v>
      </c>
      <c r="F47" s="61">
        <f t="shared" si="1"/>
        <v>24175.17</v>
      </c>
      <c r="G47" s="61"/>
      <c r="H47" s="75">
        <v>8000.0</v>
      </c>
      <c r="I47" s="75"/>
      <c r="J47" s="81"/>
      <c r="K47" s="82"/>
      <c r="L47" s="83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</row>
    <row r="48">
      <c r="A48" s="64">
        <v>46112.0</v>
      </c>
      <c r="B48" s="53" t="s">
        <v>86</v>
      </c>
      <c r="C48" s="49" t="s">
        <v>87</v>
      </c>
      <c r="D48" s="46"/>
      <c r="E48" s="51">
        <v>4000.0</v>
      </c>
      <c r="F48" s="52">
        <f t="shared" si="1"/>
        <v>20175.17</v>
      </c>
      <c r="G48" s="52"/>
      <c r="H48" s="52"/>
      <c r="I48" s="51">
        <v>4000.0</v>
      </c>
      <c r="J48" s="54"/>
      <c r="K48" s="55"/>
      <c r="L48" s="58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</row>
    <row r="49">
      <c r="A49" s="47">
        <v>46112.0</v>
      </c>
      <c r="B49" s="53" t="s">
        <v>88</v>
      </c>
      <c r="C49" s="49" t="s">
        <v>87</v>
      </c>
      <c r="D49" s="46"/>
      <c r="E49" s="58">
        <v>3000.0</v>
      </c>
      <c r="F49" s="52">
        <f t="shared" si="1"/>
        <v>17175.17</v>
      </c>
      <c r="G49" s="52"/>
      <c r="H49" s="52"/>
      <c r="I49" s="51">
        <v>3000.0</v>
      </c>
      <c r="J49" s="54"/>
      <c r="K49" s="55"/>
      <c r="L49" s="58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</row>
    <row r="50">
      <c r="A50" s="47">
        <v>46112.0</v>
      </c>
      <c r="B50" s="53" t="s">
        <v>89</v>
      </c>
      <c r="C50" s="49" t="s">
        <v>90</v>
      </c>
      <c r="D50" s="57" t="s">
        <v>91</v>
      </c>
      <c r="E50" s="51">
        <v>4000.0</v>
      </c>
      <c r="F50" s="52">
        <f t="shared" si="1"/>
        <v>13175.17</v>
      </c>
      <c r="G50" s="52"/>
      <c r="H50" s="51">
        <v>4000.0</v>
      </c>
      <c r="I50" s="52"/>
      <c r="J50" s="54"/>
      <c r="K50" s="55"/>
      <c r="L50" s="58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</row>
    <row r="51">
      <c r="A51" s="47">
        <v>46112.0</v>
      </c>
      <c r="B51" s="53" t="s">
        <v>92</v>
      </c>
      <c r="C51" s="49" t="s">
        <v>93</v>
      </c>
      <c r="D51" s="46"/>
      <c r="E51" s="51">
        <v>7000.0</v>
      </c>
      <c r="F51" s="52">
        <f t="shared" si="1"/>
        <v>6175.17</v>
      </c>
      <c r="G51" s="68"/>
      <c r="H51" s="51">
        <v>7000.0</v>
      </c>
      <c r="I51" s="68"/>
      <c r="J51" s="54"/>
      <c r="K51" s="55"/>
      <c r="L51" s="58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</row>
    <row r="52">
      <c r="A52" s="47">
        <v>46113.0</v>
      </c>
      <c r="B52" s="53" t="s">
        <v>94</v>
      </c>
      <c r="C52" s="65" t="s">
        <v>61</v>
      </c>
      <c r="D52" s="85"/>
      <c r="E52" s="58">
        <v>2773.0</v>
      </c>
      <c r="F52" s="52">
        <f t="shared" si="1"/>
        <v>3402.17</v>
      </c>
      <c r="G52" s="58">
        <v>800.0</v>
      </c>
      <c r="H52" s="68"/>
      <c r="I52" s="68"/>
      <c r="J52" s="54" t="s">
        <v>44</v>
      </c>
      <c r="K52" s="55">
        <v>5.020101E9</v>
      </c>
      <c r="L52" s="58">
        <v>700.0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</row>
    <row r="53">
      <c r="A53" s="86"/>
      <c r="B53" s="87"/>
      <c r="C53" s="88"/>
      <c r="D53" s="89"/>
      <c r="E53" s="58"/>
      <c r="F53" s="46"/>
      <c r="G53" s="58"/>
      <c r="H53" s="68"/>
      <c r="I53" s="68"/>
      <c r="J53" s="54" t="s">
        <v>50</v>
      </c>
      <c r="K53" s="55">
        <v>5.020399E9</v>
      </c>
      <c r="L53" s="58">
        <v>498.0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</row>
    <row r="54">
      <c r="A54" s="86"/>
      <c r="B54" s="87"/>
      <c r="C54" s="88"/>
      <c r="D54" s="89"/>
      <c r="E54" s="58"/>
      <c r="F54" s="46"/>
      <c r="G54" s="58"/>
      <c r="H54" s="68"/>
      <c r="I54" s="68"/>
      <c r="J54" s="71" t="s">
        <v>95</v>
      </c>
      <c r="K54" s="90">
        <v>5.020501E9</v>
      </c>
      <c r="L54" s="58">
        <v>175.0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>
      <c r="A55" s="86"/>
      <c r="B55" s="87"/>
      <c r="C55" s="88"/>
      <c r="D55" s="89"/>
      <c r="E55" s="58"/>
      <c r="F55" s="46"/>
      <c r="G55" s="58"/>
      <c r="H55" s="68"/>
      <c r="I55" s="68"/>
      <c r="J55" s="71" t="s">
        <v>63</v>
      </c>
      <c r="K55" s="90">
        <v>5.029902E9</v>
      </c>
      <c r="L55" s="58">
        <v>600.0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  <row r="56">
      <c r="A56" s="77">
        <v>46113.0</v>
      </c>
      <c r="B56" s="91" t="s">
        <v>96</v>
      </c>
      <c r="C56" s="79" t="s">
        <v>97</v>
      </c>
      <c r="D56" s="85"/>
      <c r="E56" s="58">
        <v>3402.17</v>
      </c>
      <c r="F56" s="52">
        <f>F52-E56</f>
        <v>0</v>
      </c>
      <c r="G56" s="58">
        <v>3402.17</v>
      </c>
      <c r="H56" s="68"/>
      <c r="I56" s="68"/>
      <c r="J56" s="54"/>
      <c r="K56" s="55"/>
      <c r="L56" s="58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</row>
    <row r="57">
      <c r="A57" s="92"/>
      <c r="B57" s="93"/>
      <c r="C57" s="94" t="s">
        <v>98</v>
      </c>
      <c r="D57" s="95"/>
      <c r="E57" s="95"/>
      <c r="F57" s="95"/>
      <c r="G57" s="96">
        <f t="shared" ref="G57:I57" si="2">SUM(G20:G56)</f>
        <v>60594.17</v>
      </c>
      <c r="H57" s="96">
        <f t="shared" si="2"/>
        <v>41000</v>
      </c>
      <c r="I57" s="96">
        <f t="shared" si="2"/>
        <v>21000</v>
      </c>
      <c r="J57" s="97"/>
      <c r="K57" s="96"/>
      <c r="L57" s="96">
        <f>SUM(L21:L56)</f>
        <v>131155.83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</row>
    <row r="58">
      <c r="A58" s="92"/>
      <c r="B58" s="93"/>
      <c r="C58" s="93"/>
      <c r="D58" s="98"/>
      <c r="E58" s="98"/>
      <c r="F58" s="98"/>
      <c r="G58" s="98"/>
      <c r="H58" s="98"/>
      <c r="I58" s="98"/>
      <c r="J58" s="98"/>
      <c r="K58" s="98"/>
      <c r="L58" s="99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</row>
    <row r="59">
      <c r="A59" s="92"/>
      <c r="B59" s="93"/>
      <c r="C59" s="93"/>
      <c r="D59" s="98"/>
      <c r="E59" s="98"/>
      <c r="F59" s="98"/>
      <c r="G59" s="98"/>
      <c r="H59" s="98"/>
      <c r="I59" s="98"/>
      <c r="J59" s="100" t="s">
        <v>99</v>
      </c>
      <c r="K59" s="101"/>
      <c r="L59" s="102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</row>
    <row r="60">
      <c r="A60" s="92"/>
      <c r="B60" s="93"/>
      <c r="C60" s="93"/>
      <c r="D60" s="98"/>
      <c r="E60" s="98"/>
      <c r="F60" s="98"/>
      <c r="G60" s="98"/>
      <c r="H60" s="98"/>
      <c r="I60" s="98"/>
      <c r="J60" s="103" t="s">
        <v>26</v>
      </c>
      <c r="K60" s="104" t="s">
        <v>27</v>
      </c>
      <c r="L60" s="103" t="s">
        <v>18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</row>
    <row r="61">
      <c r="A61" s="92"/>
      <c r="B61" s="93"/>
      <c r="C61" s="93"/>
      <c r="D61" s="98"/>
      <c r="E61" s="98"/>
      <c r="F61" s="98"/>
      <c r="G61" s="98"/>
      <c r="H61" s="98"/>
      <c r="I61" s="98"/>
      <c r="J61" s="54" t="s">
        <v>38</v>
      </c>
      <c r="K61" s="90">
        <v>5.020503E9</v>
      </c>
      <c r="L61" s="58">
        <f>SUMIF(J19:J58, "Internet Subcription Expenses", L19:L58)</f>
        <v>11501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</row>
    <row r="62">
      <c r="A62" s="92"/>
      <c r="B62" s="93"/>
      <c r="C62" s="93"/>
      <c r="D62" s="98"/>
      <c r="E62" s="98"/>
      <c r="F62" s="98"/>
      <c r="G62" s="98"/>
      <c r="H62" s="98"/>
      <c r="I62" s="98"/>
      <c r="J62" s="105" t="s">
        <v>41</v>
      </c>
      <c r="K62" s="106">
        <v>5.020402E9</v>
      </c>
      <c r="L62" s="58">
        <f>SUMIF(J19:J58, "Electricity Expenses", L19:L58)</f>
        <v>32161.83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</row>
    <row r="63">
      <c r="A63" s="92"/>
      <c r="B63" s="93"/>
      <c r="C63" s="93"/>
      <c r="D63" s="98"/>
      <c r="E63" s="98"/>
      <c r="F63" s="98"/>
      <c r="G63" s="98"/>
      <c r="H63" s="98"/>
      <c r="I63" s="98"/>
      <c r="J63" s="107" t="s">
        <v>44</v>
      </c>
      <c r="K63" s="90">
        <v>5.020101E9</v>
      </c>
      <c r="L63" s="58">
        <f>SUMIF(J9:J58, "Travelling Expenses-Local", L9:L58)</f>
        <v>3760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</row>
    <row r="64">
      <c r="A64" s="92"/>
      <c r="B64" s="93"/>
      <c r="C64" s="93"/>
      <c r="D64" s="98"/>
      <c r="E64" s="98"/>
      <c r="F64" s="98"/>
      <c r="G64" s="98"/>
      <c r="H64" s="98"/>
      <c r="I64" s="98"/>
      <c r="J64" s="107" t="s">
        <v>62</v>
      </c>
      <c r="K64" s="108">
        <v>5.020502001E9</v>
      </c>
      <c r="L64" s="58">
        <f>SUMIF(J1:J58, "Accountable Forms", L1:L58)</f>
        <v>1200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</row>
    <row r="65">
      <c r="A65" s="92"/>
      <c r="B65" s="93"/>
      <c r="C65" s="93"/>
      <c r="D65" s="98"/>
      <c r="E65" s="98"/>
      <c r="F65" s="98"/>
      <c r="G65" s="98"/>
      <c r="H65" s="98"/>
      <c r="I65" s="98"/>
      <c r="J65" s="107" t="s">
        <v>63</v>
      </c>
      <c r="K65" s="90">
        <v>5.029902E9</v>
      </c>
      <c r="L65" s="58">
        <f>SUMIF(J1:J58, "Printing and Publication Expenses", L1:L58)</f>
        <v>3020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</row>
    <row r="66">
      <c r="A66" s="92"/>
      <c r="B66" s="93"/>
      <c r="C66" s="93"/>
      <c r="D66" s="98"/>
      <c r="E66" s="98"/>
      <c r="F66" s="98"/>
      <c r="G66" s="98"/>
      <c r="H66" s="98"/>
      <c r="I66" s="98"/>
      <c r="J66" s="74" t="s">
        <v>50</v>
      </c>
      <c r="K66" s="90">
        <v>5.020399E9</v>
      </c>
      <c r="L66" s="58">
        <f>SUMIF(J1:J58, "Other Supplies and Materials Expenses", L1:L58)</f>
        <v>72498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</row>
    <row r="67">
      <c r="A67" s="92"/>
      <c r="B67" s="93"/>
      <c r="C67" s="93"/>
      <c r="D67" s="98"/>
      <c r="E67" s="98"/>
      <c r="F67" s="98"/>
      <c r="G67" s="98"/>
      <c r="H67" s="98"/>
      <c r="I67" s="98"/>
      <c r="J67" s="74" t="s">
        <v>73</v>
      </c>
      <c r="K67" s="90">
        <v>5.021305002E9</v>
      </c>
      <c r="L67" s="58">
        <f>SUMIF(J2:J59, "Repairs and Maintenance-Office Equipment", L2:L59)</f>
        <v>3850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</row>
    <row r="68">
      <c r="A68" s="92"/>
      <c r="B68" s="93"/>
      <c r="C68" s="93"/>
      <c r="D68" s="98"/>
      <c r="E68" s="98"/>
      <c r="F68" s="98"/>
      <c r="G68" s="98"/>
      <c r="H68" s="98"/>
      <c r="I68" s="98"/>
      <c r="J68" s="71" t="s">
        <v>68</v>
      </c>
      <c r="K68" s="90">
        <v>5.020201E9</v>
      </c>
      <c r="L68" s="58">
        <f>SUMIF(J3:J60, "Training Expenses", L3:L60)</f>
        <v>2990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</row>
    <row r="69">
      <c r="A69" s="92"/>
      <c r="B69" s="93"/>
      <c r="C69" s="93"/>
      <c r="D69" s="98"/>
      <c r="E69" s="98"/>
      <c r="F69" s="98"/>
      <c r="G69" s="98"/>
      <c r="H69" s="98"/>
      <c r="I69" s="98"/>
      <c r="J69" s="71" t="s">
        <v>95</v>
      </c>
      <c r="K69" s="90">
        <v>5.020501E9</v>
      </c>
      <c r="L69" s="109">
        <v>175.0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</row>
    <row r="70">
      <c r="A70" s="92"/>
      <c r="B70" s="93"/>
      <c r="C70" s="93"/>
      <c r="D70" s="110"/>
      <c r="E70" s="98"/>
      <c r="F70" s="98"/>
      <c r="G70" s="98"/>
      <c r="H70" s="98"/>
      <c r="I70" s="98"/>
      <c r="J70" s="111" t="s">
        <v>100</v>
      </c>
      <c r="K70" s="112"/>
      <c r="L70" s="113">
        <f>SUM(L61:L69)</f>
        <v>131155.83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</row>
    <row r="71">
      <c r="A71" s="114"/>
      <c r="B71" s="115"/>
      <c r="C71" s="115"/>
      <c r="D71" s="115"/>
      <c r="E71" s="115"/>
      <c r="F71" s="116"/>
      <c r="G71" s="117" t="s">
        <v>101</v>
      </c>
      <c r="H71" s="27"/>
      <c r="I71" s="27"/>
      <c r="J71" s="27"/>
      <c r="K71" s="27"/>
      <c r="L71" s="28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</row>
    <row r="72">
      <c r="A72" s="118"/>
      <c r="B72" s="14"/>
      <c r="C72" s="14"/>
      <c r="D72" s="14"/>
      <c r="E72" s="14"/>
      <c r="F72" s="119"/>
      <c r="G72" s="14"/>
      <c r="H72" s="14"/>
      <c r="I72" s="14"/>
      <c r="J72" s="14"/>
      <c r="K72" s="14"/>
      <c r="L72" s="120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</row>
    <row r="73">
      <c r="A73" s="121"/>
      <c r="B73" s="122" t="s">
        <v>102</v>
      </c>
      <c r="D73" s="14"/>
      <c r="E73" s="14"/>
      <c r="F73" s="119"/>
      <c r="G73" s="14"/>
      <c r="H73" s="123" t="s">
        <v>103</v>
      </c>
      <c r="J73" s="14"/>
      <c r="K73" s="14"/>
      <c r="L73" s="120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</row>
    <row r="74">
      <c r="A74" s="121"/>
      <c r="B74" s="124"/>
      <c r="C74" s="124"/>
      <c r="D74" s="14"/>
      <c r="E74" s="14"/>
      <c r="F74" s="119"/>
      <c r="G74" s="14"/>
      <c r="H74" s="125"/>
      <c r="I74" s="125"/>
      <c r="J74" s="14"/>
      <c r="K74" s="14"/>
      <c r="L74" s="120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</row>
    <row r="75">
      <c r="A75" s="118"/>
      <c r="B75" s="14"/>
      <c r="C75" s="126" t="s">
        <v>104</v>
      </c>
      <c r="D75" s="14"/>
      <c r="E75" s="14"/>
      <c r="F75" s="119"/>
      <c r="G75" s="14"/>
      <c r="H75" s="127"/>
      <c r="I75" s="126" t="s">
        <v>105</v>
      </c>
      <c r="K75" s="14"/>
      <c r="L75" s="120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</row>
    <row r="76">
      <c r="A76" s="118"/>
      <c r="B76" s="14"/>
      <c r="C76" s="128" t="s">
        <v>106</v>
      </c>
      <c r="D76" s="14"/>
      <c r="E76" s="14"/>
      <c r="F76" s="119"/>
      <c r="G76" s="14"/>
      <c r="H76" s="14"/>
      <c r="I76" s="128" t="s">
        <v>107</v>
      </c>
      <c r="K76" s="14"/>
      <c r="L76" s="120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</row>
    <row r="77">
      <c r="A77" s="118"/>
      <c r="B77" s="14"/>
      <c r="C77" s="14"/>
      <c r="D77" s="14"/>
      <c r="E77" s="14"/>
      <c r="F77" s="119"/>
      <c r="G77" s="14"/>
      <c r="H77" s="14"/>
      <c r="I77" s="14"/>
      <c r="J77" s="14"/>
      <c r="K77" s="14"/>
      <c r="L77" s="120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</row>
    <row r="78">
      <c r="A78" s="114"/>
      <c r="B78" s="115"/>
      <c r="C78" s="129" t="s">
        <v>108</v>
      </c>
      <c r="D78" s="23"/>
      <c r="E78" s="23"/>
      <c r="F78" s="116"/>
      <c r="G78" s="115"/>
      <c r="H78" s="115"/>
      <c r="I78" s="129" t="s">
        <v>109</v>
      </c>
      <c r="J78" s="23"/>
      <c r="K78" s="115"/>
      <c r="L78" s="130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</row>
    <row r="79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</row>
    <row r="80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</row>
    <row r="8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</row>
    <row r="82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</row>
    <row r="83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</row>
  </sheetData>
  <mergeCells count="37">
    <mergeCell ref="A2:L2"/>
    <mergeCell ref="A3:L3"/>
    <mergeCell ref="J4:L4"/>
    <mergeCell ref="A6:L6"/>
    <mergeCell ref="A8:D8"/>
    <mergeCell ref="I8:L8"/>
    <mergeCell ref="I9:L9"/>
    <mergeCell ref="D15:F15"/>
    <mergeCell ref="D16:F16"/>
    <mergeCell ref="G16:G17"/>
    <mergeCell ref="H16:H17"/>
    <mergeCell ref="I16:I17"/>
    <mergeCell ref="D17:D18"/>
    <mergeCell ref="E17:E18"/>
    <mergeCell ref="J17:J18"/>
    <mergeCell ref="K17:K18"/>
    <mergeCell ref="L17:L18"/>
    <mergeCell ref="C14:C18"/>
    <mergeCell ref="B73:C73"/>
    <mergeCell ref="A9:D9"/>
    <mergeCell ref="A10:D10"/>
    <mergeCell ref="A11:D11"/>
    <mergeCell ref="A14:A18"/>
    <mergeCell ref="B14:B18"/>
    <mergeCell ref="D14:F14"/>
    <mergeCell ref="F17:F18"/>
    <mergeCell ref="I75:J75"/>
    <mergeCell ref="I76:J76"/>
    <mergeCell ref="C78:E78"/>
    <mergeCell ref="I78:J78"/>
    <mergeCell ref="I10:L10"/>
    <mergeCell ref="I11:L11"/>
    <mergeCell ref="I12:L12"/>
    <mergeCell ref="G14:L15"/>
    <mergeCell ref="J16:L16"/>
    <mergeCell ref="G71:L71"/>
    <mergeCell ref="H73:I73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2.13"/>
    <col customWidth="1" min="3" max="3" width="25.25"/>
    <col customWidth="1" min="4" max="4" width="14.13"/>
    <col customWidth="1" min="7" max="7" width="15.25"/>
    <col customWidth="1" min="10" max="10" width="28.38"/>
    <col customWidth="1" min="11" max="11" width="12.75"/>
  </cols>
  <sheetData>
    <row r="2">
      <c r="A2" s="1" t="s">
        <v>0</v>
      </c>
    </row>
    <row r="3">
      <c r="A3" s="2" t="s">
        <v>1</v>
      </c>
    </row>
    <row r="4">
      <c r="A4" s="3"/>
      <c r="B4" s="3"/>
      <c r="C4" s="4"/>
      <c r="D4" s="4"/>
      <c r="E4" s="4"/>
      <c r="F4" s="4"/>
      <c r="G4" s="4"/>
      <c r="H4" s="4"/>
      <c r="I4" s="4"/>
      <c r="J4" s="5" t="s">
        <v>2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>
      <c r="A5" s="3"/>
      <c r="B5" s="3"/>
      <c r="C5" s="4"/>
      <c r="D5" s="4"/>
      <c r="E5" s="4"/>
      <c r="F5" s="4"/>
      <c r="G5" s="4"/>
      <c r="H5" s="4"/>
      <c r="I5" s="4"/>
      <c r="J5" s="6"/>
      <c r="K5" s="6"/>
      <c r="L5" s="6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>
      <c r="A6" s="7" t="s">
        <v>3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</row>
    <row r="7">
      <c r="A7" s="9"/>
      <c r="B7" s="9"/>
      <c r="C7" s="9"/>
      <c r="D7" s="9"/>
      <c r="E7" s="10"/>
      <c r="F7" s="10"/>
      <c r="G7" s="10"/>
      <c r="H7" s="10"/>
      <c r="I7" s="10"/>
      <c r="J7" s="10"/>
      <c r="K7" s="10"/>
      <c r="L7" s="10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>
      <c r="A8" s="11" t="s">
        <v>4</v>
      </c>
      <c r="E8" s="12"/>
      <c r="F8" s="9"/>
      <c r="G8" s="12"/>
      <c r="H8" s="12"/>
      <c r="I8" s="11" t="s">
        <v>5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>
      <c r="A9" s="11" t="s">
        <v>6</v>
      </c>
      <c r="E9" s="12"/>
      <c r="F9" s="12"/>
      <c r="G9" s="12"/>
      <c r="H9" s="12"/>
      <c r="I9" s="11" t="s">
        <v>7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>
      <c r="A10" s="11" t="s">
        <v>8</v>
      </c>
      <c r="E10" s="12"/>
      <c r="F10" s="12"/>
      <c r="G10" s="12"/>
      <c r="H10" s="12"/>
      <c r="I10" s="11" t="s">
        <v>9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>
      <c r="A11" s="11" t="s">
        <v>10</v>
      </c>
      <c r="E11" s="12"/>
      <c r="F11" s="12"/>
      <c r="G11" s="12"/>
      <c r="H11" s="12"/>
      <c r="I11" s="11" t="s">
        <v>11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>
      <c r="A12" s="8"/>
      <c r="B12" s="9"/>
      <c r="C12" s="9"/>
      <c r="D12" s="9"/>
      <c r="E12" s="12"/>
      <c r="F12" s="9"/>
      <c r="G12" s="12"/>
      <c r="H12" s="12"/>
      <c r="I12" s="11" t="s">
        <v>12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>
      <c r="A13" s="12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3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>
      <c r="A14" s="15" t="s">
        <v>13</v>
      </c>
      <c r="B14" s="16" t="s">
        <v>14</v>
      </c>
      <c r="C14" s="15" t="s">
        <v>15</v>
      </c>
      <c r="D14" s="17" t="s">
        <v>16</v>
      </c>
      <c r="E14" s="18"/>
      <c r="F14" s="19"/>
      <c r="G14" s="20" t="s">
        <v>17</v>
      </c>
      <c r="H14" s="18"/>
      <c r="I14" s="18"/>
      <c r="J14" s="18"/>
      <c r="K14" s="18"/>
      <c r="L14" s="19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>
      <c r="A15" s="21"/>
      <c r="B15" s="21"/>
      <c r="C15" s="21"/>
      <c r="D15" s="22">
        <v>-1.990101E7</v>
      </c>
      <c r="E15" s="23"/>
      <c r="F15" s="24"/>
      <c r="G15" s="23"/>
      <c r="H15" s="23"/>
      <c r="I15" s="23"/>
      <c r="J15" s="23"/>
      <c r="K15" s="23"/>
      <c r="L15" s="24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</row>
    <row r="16">
      <c r="A16" s="21"/>
      <c r="B16" s="21"/>
      <c r="C16" s="21"/>
      <c r="D16" s="26" t="s">
        <v>18</v>
      </c>
      <c r="E16" s="27"/>
      <c r="F16" s="28"/>
      <c r="G16" s="29" t="s">
        <v>19</v>
      </c>
      <c r="H16" s="30" t="s">
        <v>20</v>
      </c>
      <c r="I16" s="29" t="s">
        <v>21</v>
      </c>
      <c r="J16" s="31" t="s">
        <v>22</v>
      </c>
      <c r="K16" s="27"/>
      <c r="L16" s="28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</row>
    <row r="17">
      <c r="A17" s="21"/>
      <c r="B17" s="21"/>
      <c r="C17" s="21"/>
      <c r="D17" s="32" t="s">
        <v>23</v>
      </c>
      <c r="E17" s="33" t="s">
        <v>24</v>
      </c>
      <c r="F17" s="34" t="s">
        <v>25</v>
      </c>
      <c r="G17" s="24"/>
      <c r="H17" s="35"/>
      <c r="I17" s="24"/>
      <c r="J17" s="30" t="s">
        <v>26</v>
      </c>
      <c r="K17" s="36" t="s">
        <v>27</v>
      </c>
      <c r="L17" s="34" t="s">
        <v>18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</row>
    <row r="18">
      <c r="A18" s="35"/>
      <c r="B18" s="35"/>
      <c r="C18" s="35"/>
      <c r="D18" s="35"/>
      <c r="E18" s="35"/>
      <c r="F18" s="24"/>
      <c r="G18" s="37">
        <v>5.020301E9</v>
      </c>
      <c r="H18" s="37">
        <v>5.021299E9</v>
      </c>
      <c r="I18" s="37">
        <v>5.021202E9</v>
      </c>
      <c r="J18" s="35"/>
      <c r="K18" s="35"/>
      <c r="L18" s="24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</row>
    <row r="19" ht="27.75" customHeight="1">
      <c r="A19" s="131">
        <v>46133.0</v>
      </c>
      <c r="B19" s="132">
        <v>2626050.0</v>
      </c>
      <c r="C19" s="41" t="s">
        <v>110</v>
      </c>
      <c r="D19" s="42">
        <v>253750.0</v>
      </c>
      <c r="E19" s="43"/>
      <c r="F19" s="42">
        <v>253750.0</v>
      </c>
      <c r="G19" s="44"/>
      <c r="H19" s="44"/>
      <c r="I19" s="44"/>
      <c r="J19" s="45"/>
      <c r="K19" s="46"/>
      <c r="L19" s="4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</row>
    <row r="20">
      <c r="A20" s="64">
        <v>46141.0</v>
      </c>
      <c r="B20" s="48" t="s">
        <v>111</v>
      </c>
      <c r="C20" s="59" t="s">
        <v>112</v>
      </c>
      <c r="D20" s="50"/>
      <c r="E20" s="51">
        <v>7392.37</v>
      </c>
      <c r="F20" s="52">
        <f t="shared" ref="F20:F52" si="1">F19-E20</f>
        <v>246357.63</v>
      </c>
      <c r="G20" s="52"/>
      <c r="H20" s="52"/>
      <c r="I20" s="51"/>
      <c r="J20" s="133" t="s">
        <v>41</v>
      </c>
      <c r="K20" s="134">
        <v>5.020402E9</v>
      </c>
      <c r="L20" s="51">
        <v>7392.37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</row>
    <row r="21">
      <c r="A21" s="47">
        <v>46141.0</v>
      </c>
      <c r="B21" s="48" t="s">
        <v>113</v>
      </c>
      <c r="C21" s="49" t="s">
        <v>114</v>
      </c>
      <c r="D21" s="50"/>
      <c r="E21" s="51">
        <v>2999.0</v>
      </c>
      <c r="F21" s="52">
        <f t="shared" si="1"/>
        <v>243358.63</v>
      </c>
      <c r="G21" s="52"/>
      <c r="H21" s="52"/>
      <c r="I21" s="51"/>
      <c r="J21" s="133" t="s">
        <v>38</v>
      </c>
      <c r="K21" s="134">
        <v>5.020503E9</v>
      </c>
      <c r="L21" s="51">
        <v>2999.0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</row>
    <row r="22">
      <c r="A22" s="47">
        <v>46142.0</v>
      </c>
      <c r="B22" s="48" t="s">
        <v>115</v>
      </c>
      <c r="C22" s="49" t="s">
        <v>116</v>
      </c>
      <c r="D22" s="46"/>
      <c r="E22" s="51">
        <v>7000.0</v>
      </c>
      <c r="F22" s="52">
        <f t="shared" si="1"/>
        <v>236358.63</v>
      </c>
      <c r="G22" s="52"/>
      <c r="H22" s="51">
        <v>7000.0</v>
      </c>
      <c r="I22" s="52"/>
      <c r="J22" s="50"/>
      <c r="K22" s="46"/>
      <c r="L22" s="46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</row>
    <row r="23">
      <c r="A23" s="47">
        <v>46142.0</v>
      </c>
      <c r="B23" s="48" t="s">
        <v>117</v>
      </c>
      <c r="C23" s="49" t="s">
        <v>118</v>
      </c>
      <c r="D23" s="46"/>
      <c r="E23" s="51">
        <v>4000.0</v>
      </c>
      <c r="F23" s="52">
        <f t="shared" si="1"/>
        <v>232358.63</v>
      </c>
      <c r="G23" s="52"/>
      <c r="H23" s="51">
        <v>4000.0</v>
      </c>
      <c r="I23" s="51"/>
      <c r="J23" s="50"/>
      <c r="K23" s="46"/>
      <c r="L23" s="46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</row>
    <row r="24">
      <c r="A24" s="47">
        <v>46142.0</v>
      </c>
      <c r="B24" s="48" t="s">
        <v>119</v>
      </c>
      <c r="C24" s="49" t="s">
        <v>120</v>
      </c>
      <c r="D24" s="50"/>
      <c r="E24" s="51">
        <v>4000.0</v>
      </c>
      <c r="F24" s="52">
        <f t="shared" si="1"/>
        <v>228358.63</v>
      </c>
      <c r="G24" s="52"/>
      <c r="H24" s="51"/>
      <c r="I24" s="51">
        <v>4000.0</v>
      </c>
      <c r="J24" s="54"/>
      <c r="K24" s="55"/>
      <c r="L24" s="51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</row>
    <row r="25">
      <c r="A25" s="64">
        <v>46142.0</v>
      </c>
      <c r="B25" s="53" t="s">
        <v>121</v>
      </c>
      <c r="C25" s="49" t="s">
        <v>65</v>
      </c>
      <c r="D25" s="50"/>
      <c r="E25" s="51">
        <v>1020.0</v>
      </c>
      <c r="F25" s="52">
        <f t="shared" si="1"/>
        <v>227338.63</v>
      </c>
      <c r="G25" s="52"/>
      <c r="H25" s="52"/>
      <c r="I25" s="52"/>
      <c r="J25" s="133" t="s">
        <v>44</v>
      </c>
      <c r="K25" s="134">
        <v>5.020101E9</v>
      </c>
      <c r="L25" s="51">
        <v>1020.0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</row>
    <row r="26">
      <c r="A26" s="47">
        <v>46146.0</v>
      </c>
      <c r="B26" s="53" t="s">
        <v>122</v>
      </c>
      <c r="C26" s="49" t="s">
        <v>123</v>
      </c>
      <c r="D26" s="50"/>
      <c r="E26" s="51">
        <v>2000.0</v>
      </c>
      <c r="F26" s="52">
        <f t="shared" si="1"/>
        <v>225338.63</v>
      </c>
      <c r="G26" s="52"/>
      <c r="H26" s="52"/>
      <c r="I26" s="52"/>
      <c r="J26" s="133" t="s">
        <v>50</v>
      </c>
      <c r="K26" s="134">
        <v>5.020399E9</v>
      </c>
      <c r="L26" s="58">
        <v>2000.0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</row>
    <row r="27">
      <c r="A27" s="64">
        <v>46153.0</v>
      </c>
      <c r="B27" s="53" t="s">
        <v>124</v>
      </c>
      <c r="C27" s="49" t="s">
        <v>125</v>
      </c>
      <c r="D27" s="50"/>
      <c r="E27" s="51">
        <v>20841.99</v>
      </c>
      <c r="F27" s="52">
        <f t="shared" si="1"/>
        <v>204496.64</v>
      </c>
      <c r="G27" s="51"/>
      <c r="H27" s="52"/>
      <c r="I27" s="52"/>
      <c r="J27" s="76" t="s">
        <v>68</v>
      </c>
      <c r="K27" s="135">
        <v>5.020201E9</v>
      </c>
      <c r="L27" s="55">
        <v>20841.99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</row>
    <row r="28">
      <c r="A28" s="64">
        <v>46161.0</v>
      </c>
      <c r="B28" s="53" t="s">
        <v>126</v>
      </c>
      <c r="C28" s="49" t="s">
        <v>127</v>
      </c>
      <c r="D28" s="50"/>
      <c r="E28" s="51">
        <v>15340.0</v>
      </c>
      <c r="F28" s="52">
        <f t="shared" si="1"/>
        <v>189156.64</v>
      </c>
      <c r="G28" s="60"/>
      <c r="H28" s="61"/>
      <c r="I28" s="61"/>
      <c r="J28" s="76" t="s">
        <v>68</v>
      </c>
      <c r="K28" s="135">
        <v>5.020201E9</v>
      </c>
      <c r="L28" s="51">
        <v>15340.0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</row>
    <row r="29">
      <c r="A29" s="47"/>
      <c r="B29" s="53"/>
      <c r="C29" s="59"/>
      <c r="D29" s="50"/>
      <c r="E29" s="51"/>
      <c r="F29" s="52">
        <f t="shared" si="1"/>
        <v>189156.64</v>
      </c>
      <c r="G29" s="52"/>
      <c r="H29" s="52"/>
      <c r="I29" s="52"/>
      <c r="J29" s="54"/>
      <c r="K29" s="55"/>
      <c r="L29" s="51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</row>
    <row r="30">
      <c r="A30" s="47"/>
      <c r="B30" s="53"/>
      <c r="C30" s="49"/>
      <c r="D30" s="50"/>
      <c r="E30" s="51"/>
      <c r="F30" s="52">
        <f t="shared" si="1"/>
        <v>189156.64</v>
      </c>
      <c r="G30" s="52"/>
      <c r="H30" s="52"/>
      <c r="I30" s="52"/>
      <c r="J30" s="54"/>
      <c r="K30" s="55"/>
      <c r="L30" s="51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>
      <c r="A31" s="47"/>
      <c r="B31" s="53"/>
      <c r="C31" s="59"/>
      <c r="D31" s="50"/>
      <c r="E31" s="51"/>
      <c r="F31" s="52">
        <f t="shared" si="1"/>
        <v>189156.64</v>
      </c>
      <c r="G31" s="52"/>
      <c r="H31" s="52"/>
      <c r="I31" s="52"/>
      <c r="J31" s="62"/>
      <c r="K31" s="57"/>
      <c r="L31" s="51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</row>
    <row r="32">
      <c r="A32" s="47"/>
      <c r="B32" s="53"/>
      <c r="C32" s="49"/>
      <c r="D32" s="50"/>
      <c r="E32" s="51"/>
      <c r="F32" s="52">
        <f t="shared" si="1"/>
        <v>189156.64</v>
      </c>
      <c r="G32" s="52"/>
      <c r="H32" s="52"/>
      <c r="I32" s="51"/>
      <c r="J32" s="50"/>
      <c r="K32" s="46"/>
      <c r="L32" s="46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</row>
    <row r="33">
      <c r="A33" s="47"/>
      <c r="B33" s="53"/>
      <c r="C33" s="49"/>
      <c r="D33" s="46"/>
      <c r="E33" s="51"/>
      <c r="F33" s="52">
        <f t="shared" si="1"/>
        <v>189156.64</v>
      </c>
      <c r="G33" s="52"/>
      <c r="H33" s="52"/>
      <c r="I33" s="51"/>
      <c r="J33" s="50"/>
      <c r="K33" s="46"/>
      <c r="L33" s="46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</row>
    <row r="34">
      <c r="A34" s="47"/>
      <c r="B34" s="53"/>
      <c r="C34" s="49"/>
      <c r="D34" s="46"/>
      <c r="E34" s="51"/>
      <c r="F34" s="52">
        <f t="shared" si="1"/>
        <v>189156.64</v>
      </c>
      <c r="G34" s="52"/>
      <c r="H34" s="51"/>
      <c r="I34" s="52"/>
      <c r="J34" s="50"/>
      <c r="K34" s="46"/>
      <c r="L34" s="46"/>
      <c r="M34" s="63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</row>
    <row r="35">
      <c r="A35" s="47"/>
      <c r="B35" s="53"/>
      <c r="C35" s="49"/>
      <c r="D35" s="46"/>
      <c r="E35" s="51"/>
      <c r="F35" s="52">
        <f t="shared" si="1"/>
        <v>189156.64</v>
      </c>
      <c r="G35" s="52"/>
      <c r="H35" s="51"/>
      <c r="I35" s="52"/>
      <c r="J35" s="50"/>
      <c r="K35" s="46"/>
      <c r="L35" s="46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</row>
    <row r="36">
      <c r="A36" s="64"/>
      <c r="B36" s="53"/>
      <c r="C36" s="65"/>
      <c r="D36" s="46"/>
      <c r="E36" s="66"/>
      <c r="F36" s="67">
        <f t="shared" si="1"/>
        <v>189156.64</v>
      </c>
      <c r="G36" s="51"/>
      <c r="H36" s="68"/>
      <c r="I36" s="52"/>
      <c r="J36" s="54"/>
      <c r="K36" s="69"/>
      <c r="L36" s="70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</row>
    <row r="37">
      <c r="A37" s="47"/>
      <c r="B37" s="53"/>
      <c r="C37" s="49"/>
      <c r="D37" s="46"/>
      <c r="E37" s="51"/>
      <c r="F37" s="52">
        <f t="shared" si="1"/>
        <v>189156.64</v>
      </c>
      <c r="G37" s="52"/>
      <c r="H37" s="52"/>
      <c r="I37" s="52"/>
      <c r="J37" s="54"/>
      <c r="K37" s="55"/>
      <c r="L37" s="58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</row>
    <row r="38">
      <c r="A38" s="64"/>
      <c r="B38" s="53"/>
      <c r="C38" s="49"/>
      <c r="D38" s="46"/>
      <c r="E38" s="51"/>
      <c r="F38" s="52">
        <f t="shared" si="1"/>
        <v>189156.64</v>
      </c>
      <c r="G38" s="52"/>
      <c r="H38" s="52"/>
      <c r="I38" s="52"/>
      <c r="J38" s="54"/>
      <c r="K38" s="55"/>
      <c r="L38" s="58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</row>
    <row r="39">
      <c r="A39" s="64"/>
      <c r="B39" s="53"/>
      <c r="C39" s="49"/>
      <c r="D39" s="46"/>
      <c r="E39" s="51"/>
      <c r="F39" s="52">
        <f t="shared" si="1"/>
        <v>189156.64</v>
      </c>
      <c r="G39" s="52"/>
      <c r="H39" s="52"/>
      <c r="I39" s="52"/>
      <c r="J39" s="71"/>
      <c r="K39" s="55"/>
      <c r="L39" s="58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</row>
    <row r="40">
      <c r="A40" s="64"/>
      <c r="B40" s="53"/>
      <c r="C40" s="49"/>
      <c r="D40" s="46"/>
      <c r="E40" s="51"/>
      <c r="F40" s="52">
        <f t="shared" si="1"/>
        <v>189156.64</v>
      </c>
      <c r="G40" s="52"/>
      <c r="H40" s="52"/>
      <c r="I40" s="52"/>
      <c r="J40" s="72"/>
      <c r="K40" s="55"/>
      <c r="L40" s="51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</row>
    <row r="41">
      <c r="A41" s="64"/>
      <c r="B41" s="53"/>
      <c r="C41" s="73"/>
      <c r="D41" s="46"/>
      <c r="E41" s="51"/>
      <c r="F41" s="52">
        <f t="shared" si="1"/>
        <v>189156.64</v>
      </c>
      <c r="G41" s="52"/>
      <c r="H41" s="52"/>
      <c r="I41" s="52"/>
      <c r="J41" s="74"/>
      <c r="K41" s="55"/>
      <c r="L41" s="51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</row>
    <row r="42">
      <c r="A42" s="64"/>
      <c r="B42" s="53"/>
      <c r="C42" s="49"/>
      <c r="D42" s="46"/>
      <c r="E42" s="51"/>
      <c r="F42" s="52">
        <f t="shared" si="1"/>
        <v>189156.64</v>
      </c>
      <c r="G42" s="52"/>
      <c r="H42" s="52"/>
      <c r="I42" s="52"/>
      <c r="J42" s="54"/>
      <c r="K42" s="55"/>
      <c r="L42" s="51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</row>
    <row r="43">
      <c r="A43" s="64"/>
      <c r="B43" s="53"/>
      <c r="C43" s="59"/>
      <c r="D43" s="46"/>
      <c r="E43" s="51"/>
      <c r="F43" s="52">
        <f t="shared" si="1"/>
        <v>189156.64</v>
      </c>
      <c r="G43" s="52"/>
      <c r="H43" s="52"/>
      <c r="I43" s="52"/>
      <c r="J43" s="62"/>
      <c r="K43" s="57"/>
      <c r="L43" s="51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>
      <c r="A44" s="64"/>
      <c r="B44" s="53"/>
      <c r="C44" s="49"/>
      <c r="D44" s="46"/>
      <c r="E44" s="51"/>
      <c r="F44" s="52">
        <f t="shared" si="1"/>
        <v>189156.64</v>
      </c>
      <c r="G44" s="52"/>
      <c r="H44" s="52"/>
      <c r="I44" s="52"/>
      <c r="J44" s="54"/>
      <c r="K44" s="55"/>
      <c r="L44" s="51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>
      <c r="A45" s="64"/>
      <c r="B45" s="53"/>
      <c r="C45" s="59"/>
      <c r="D45" s="46"/>
      <c r="E45" s="51"/>
      <c r="F45" s="52">
        <f t="shared" si="1"/>
        <v>189156.64</v>
      </c>
      <c r="G45" s="52"/>
      <c r="H45" s="52"/>
      <c r="I45" s="52"/>
      <c r="J45" s="54"/>
      <c r="K45" s="55"/>
      <c r="L45" s="51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>
      <c r="A46" s="64"/>
      <c r="B46" s="53"/>
      <c r="C46" s="49"/>
      <c r="D46" s="46"/>
      <c r="E46" s="51"/>
      <c r="F46" s="52">
        <f t="shared" si="1"/>
        <v>189156.64</v>
      </c>
      <c r="G46" s="75"/>
      <c r="H46" s="52"/>
      <c r="I46" s="51"/>
      <c r="J46" s="76"/>
      <c r="K46" s="55"/>
      <c r="L46" s="58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>
      <c r="A47" s="77"/>
      <c r="B47" s="78"/>
      <c r="C47" s="79"/>
      <c r="D47" s="80"/>
      <c r="E47" s="75"/>
      <c r="F47" s="61">
        <f t="shared" si="1"/>
        <v>189156.64</v>
      </c>
      <c r="G47" s="61"/>
      <c r="H47" s="75"/>
      <c r="I47" s="75"/>
      <c r="J47" s="81"/>
      <c r="K47" s="82"/>
      <c r="L47" s="83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</row>
    <row r="48">
      <c r="A48" s="64"/>
      <c r="B48" s="53"/>
      <c r="C48" s="49"/>
      <c r="D48" s="46"/>
      <c r="E48" s="51"/>
      <c r="F48" s="52">
        <f t="shared" si="1"/>
        <v>189156.64</v>
      </c>
      <c r="G48" s="52"/>
      <c r="H48" s="52"/>
      <c r="I48" s="51"/>
      <c r="J48" s="54"/>
      <c r="K48" s="55"/>
      <c r="L48" s="58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</row>
    <row r="49">
      <c r="A49" s="47"/>
      <c r="B49" s="53"/>
      <c r="C49" s="49"/>
      <c r="D49" s="46"/>
      <c r="E49" s="58"/>
      <c r="F49" s="52">
        <f t="shared" si="1"/>
        <v>189156.64</v>
      </c>
      <c r="G49" s="52"/>
      <c r="H49" s="52"/>
      <c r="I49" s="51"/>
      <c r="J49" s="54"/>
      <c r="K49" s="55"/>
      <c r="L49" s="58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</row>
    <row r="50">
      <c r="A50" s="47"/>
      <c r="B50" s="53"/>
      <c r="C50" s="49"/>
      <c r="D50" s="57"/>
      <c r="E50" s="51"/>
      <c r="F50" s="52">
        <f t="shared" si="1"/>
        <v>189156.64</v>
      </c>
      <c r="G50" s="52"/>
      <c r="H50" s="51"/>
      <c r="I50" s="52"/>
      <c r="J50" s="54"/>
      <c r="K50" s="55"/>
      <c r="L50" s="58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</row>
    <row r="51">
      <c r="A51" s="47"/>
      <c r="B51" s="53"/>
      <c r="C51" s="49"/>
      <c r="D51" s="46"/>
      <c r="E51" s="51"/>
      <c r="F51" s="52">
        <f t="shared" si="1"/>
        <v>189156.64</v>
      </c>
      <c r="G51" s="68"/>
      <c r="H51" s="51"/>
      <c r="I51" s="68"/>
      <c r="J51" s="54"/>
      <c r="K51" s="55"/>
      <c r="L51" s="58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</row>
    <row r="52">
      <c r="A52" s="47"/>
      <c r="B52" s="53"/>
      <c r="C52" s="65"/>
      <c r="D52" s="85"/>
      <c r="E52" s="58"/>
      <c r="F52" s="52">
        <f t="shared" si="1"/>
        <v>189156.64</v>
      </c>
      <c r="G52" s="58"/>
      <c r="H52" s="68"/>
      <c r="I52" s="68"/>
      <c r="J52" s="54"/>
      <c r="K52" s="55"/>
      <c r="L52" s="58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</row>
    <row r="53">
      <c r="A53" s="86"/>
      <c r="B53" s="87"/>
      <c r="C53" s="88"/>
      <c r="D53" s="89"/>
      <c r="E53" s="58"/>
      <c r="F53" s="46"/>
      <c r="G53" s="58"/>
      <c r="H53" s="68"/>
      <c r="I53" s="68"/>
      <c r="J53" s="54"/>
      <c r="K53" s="55"/>
      <c r="L53" s="58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</row>
    <row r="54">
      <c r="A54" s="86"/>
      <c r="B54" s="87"/>
      <c r="C54" s="88"/>
      <c r="D54" s="89"/>
      <c r="E54" s="58"/>
      <c r="F54" s="46"/>
      <c r="G54" s="58"/>
      <c r="H54" s="68"/>
      <c r="I54" s="68"/>
      <c r="J54" s="71"/>
      <c r="K54" s="90"/>
      <c r="L54" s="58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>
      <c r="A55" s="86"/>
      <c r="B55" s="87"/>
      <c r="C55" s="88"/>
      <c r="D55" s="89"/>
      <c r="E55" s="58"/>
      <c r="F55" s="46"/>
      <c r="G55" s="58"/>
      <c r="H55" s="68"/>
      <c r="I55" s="68"/>
      <c r="J55" s="71"/>
      <c r="K55" s="90"/>
      <c r="L55" s="58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  <row r="56">
      <c r="A56" s="77"/>
      <c r="B56" s="91"/>
      <c r="C56" s="79"/>
      <c r="D56" s="85"/>
      <c r="E56" s="58"/>
      <c r="F56" s="52">
        <f>F52-E56</f>
        <v>189156.64</v>
      </c>
      <c r="G56" s="58"/>
      <c r="H56" s="68"/>
      <c r="I56" s="68"/>
      <c r="J56" s="54"/>
      <c r="K56" s="55"/>
      <c r="L56" s="58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</row>
    <row r="57">
      <c r="A57" s="92"/>
      <c r="B57" s="93"/>
      <c r="C57" s="94" t="s">
        <v>98</v>
      </c>
      <c r="D57" s="95"/>
      <c r="E57" s="95"/>
      <c r="F57" s="95"/>
      <c r="G57" s="96">
        <f t="shared" ref="G57:I57" si="2">SUM(G20:G56)</f>
        <v>0</v>
      </c>
      <c r="H57" s="96">
        <f t="shared" si="2"/>
        <v>11000</v>
      </c>
      <c r="I57" s="96">
        <f t="shared" si="2"/>
        <v>4000</v>
      </c>
      <c r="J57" s="97"/>
      <c r="K57" s="96"/>
      <c r="L57" s="96">
        <f>SUM(L21:L56)</f>
        <v>42200.99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</row>
    <row r="58">
      <c r="A58" s="92"/>
      <c r="B58" s="93"/>
      <c r="C58" s="93"/>
      <c r="D58" s="98"/>
      <c r="E58" s="98"/>
      <c r="F58" s="98"/>
      <c r="G58" s="98"/>
      <c r="H58" s="98"/>
      <c r="I58" s="98"/>
      <c r="J58" s="98"/>
      <c r="K58" s="98"/>
      <c r="L58" s="99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</row>
    <row r="59">
      <c r="A59" s="92"/>
      <c r="B59" s="93"/>
      <c r="C59" s="93"/>
      <c r="D59" s="98"/>
      <c r="E59" s="98"/>
      <c r="F59" s="98"/>
      <c r="G59" s="98"/>
      <c r="H59" s="98"/>
      <c r="I59" s="98"/>
      <c r="J59" s="100" t="s">
        <v>99</v>
      </c>
      <c r="K59" s="101"/>
      <c r="L59" s="102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</row>
    <row r="60">
      <c r="A60" s="92"/>
      <c r="B60" s="93"/>
      <c r="C60" s="93"/>
      <c r="D60" s="98"/>
      <c r="E60" s="98"/>
      <c r="F60" s="98"/>
      <c r="G60" s="98"/>
      <c r="H60" s="98"/>
      <c r="I60" s="98"/>
      <c r="J60" s="103" t="s">
        <v>26</v>
      </c>
      <c r="K60" s="104" t="s">
        <v>27</v>
      </c>
      <c r="L60" s="103" t="s">
        <v>18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</row>
    <row r="61">
      <c r="A61" s="92"/>
      <c r="B61" s="93"/>
      <c r="C61" s="93"/>
      <c r="D61" s="98"/>
      <c r="E61" s="98"/>
      <c r="F61" s="98"/>
      <c r="G61" s="98"/>
      <c r="H61" s="98"/>
      <c r="I61" s="98"/>
      <c r="J61" s="133" t="s">
        <v>44</v>
      </c>
      <c r="K61" s="134">
        <v>5.020101E9</v>
      </c>
      <c r="L61" s="58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</row>
    <row r="62">
      <c r="A62" s="92"/>
      <c r="B62" s="93"/>
      <c r="C62" s="93"/>
      <c r="D62" s="98"/>
      <c r="E62" s="98"/>
      <c r="F62" s="98"/>
      <c r="G62" s="98"/>
      <c r="H62" s="98"/>
      <c r="I62" s="98"/>
      <c r="J62" s="133" t="s">
        <v>68</v>
      </c>
      <c r="K62" s="134">
        <v>5.020201E9</v>
      </c>
      <c r="L62" s="58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</row>
    <row r="63">
      <c r="A63" s="92"/>
      <c r="B63" s="93"/>
      <c r="C63" s="93"/>
      <c r="D63" s="98"/>
      <c r="E63" s="98"/>
      <c r="F63" s="98"/>
      <c r="G63" s="98"/>
      <c r="H63" s="98"/>
      <c r="I63" s="98"/>
      <c r="J63" s="133" t="s">
        <v>128</v>
      </c>
      <c r="K63" s="134">
        <v>5.020307E9</v>
      </c>
      <c r="L63" s="58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</row>
    <row r="64">
      <c r="A64" s="92"/>
      <c r="B64" s="93"/>
      <c r="C64" s="93"/>
      <c r="D64" s="98"/>
      <c r="E64" s="98"/>
      <c r="F64" s="98"/>
      <c r="G64" s="98"/>
      <c r="H64" s="98"/>
      <c r="I64" s="98"/>
      <c r="J64" s="133" t="s">
        <v>129</v>
      </c>
      <c r="K64" s="134">
        <v>5.020309E9</v>
      </c>
      <c r="L64" s="58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</row>
    <row r="65">
      <c r="A65" s="92"/>
      <c r="B65" s="93"/>
      <c r="C65" s="93"/>
      <c r="D65" s="98"/>
      <c r="E65" s="98"/>
      <c r="F65" s="98"/>
      <c r="G65" s="98"/>
      <c r="H65" s="98"/>
      <c r="I65" s="98"/>
      <c r="J65" s="133" t="s">
        <v>50</v>
      </c>
      <c r="K65" s="134">
        <v>5.020399E9</v>
      </c>
      <c r="L65" s="58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</row>
    <row r="66">
      <c r="A66" s="92"/>
      <c r="B66" s="93"/>
      <c r="C66" s="93"/>
      <c r="D66" s="98"/>
      <c r="E66" s="98"/>
      <c r="F66" s="98"/>
      <c r="G66" s="98"/>
      <c r="H66" s="98"/>
      <c r="I66" s="98"/>
      <c r="J66" s="133" t="s">
        <v>130</v>
      </c>
      <c r="K66" s="134">
        <v>5.020401E9</v>
      </c>
      <c r="L66" s="58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</row>
    <row r="67">
      <c r="A67" s="92"/>
      <c r="B67" s="93"/>
      <c r="C67" s="93"/>
      <c r="D67" s="98"/>
      <c r="E67" s="98"/>
      <c r="F67" s="98"/>
      <c r="G67" s="98"/>
      <c r="H67" s="98"/>
      <c r="I67" s="98"/>
      <c r="J67" s="133" t="s">
        <v>41</v>
      </c>
      <c r="K67" s="134">
        <v>5.020402E9</v>
      </c>
      <c r="L67" s="58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</row>
    <row r="68">
      <c r="A68" s="92"/>
      <c r="B68" s="93"/>
      <c r="C68" s="93"/>
      <c r="D68" s="98"/>
      <c r="E68" s="98"/>
      <c r="F68" s="98"/>
      <c r="G68" s="98"/>
      <c r="H68" s="98"/>
      <c r="I68" s="98"/>
      <c r="J68" s="133" t="s">
        <v>95</v>
      </c>
      <c r="K68" s="134">
        <v>5.020501E9</v>
      </c>
      <c r="L68" s="58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</row>
    <row r="69">
      <c r="A69" s="92"/>
      <c r="B69" s="93"/>
      <c r="C69" s="93"/>
      <c r="D69" s="98"/>
      <c r="E69" s="98"/>
      <c r="F69" s="98"/>
      <c r="G69" s="98"/>
      <c r="H69" s="98"/>
      <c r="I69" s="98"/>
      <c r="J69" s="133" t="s">
        <v>131</v>
      </c>
      <c r="K69" s="134">
        <v>5.020502001E9</v>
      </c>
      <c r="L69" s="58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</row>
    <row r="70">
      <c r="A70" s="92"/>
      <c r="B70" s="93"/>
      <c r="C70" s="93"/>
      <c r="D70" s="98"/>
      <c r="E70" s="98"/>
      <c r="F70" s="98"/>
      <c r="G70" s="98"/>
      <c r="H70" s="98"/>
      <c r="I70" s="98"/>
      <c r="J70" s="133" t="s">
        <v>38</v>
      </c>
      <c r="K70" s="134">
        <v>5.020503E9</v>
      </c>
      <c r="L70" s="58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</row>
    <row r="71">
      <c r="A71" s="92"/>
      <c r="B71" s="93"/>
      <c r="C71" s="93"/>
      <c r="D71" s="98"/>
      <c r="E71" s="98"/>
      <c r="F71" s="98"/>
      <c r="G71" s="98"/>
      <c r="H71" s="98"/>
      <c r="I71" s="98"/>
      <c r="J71" s="133" t="s">
        <v>132</v>
      </c>
      <c r="K71" s="134">
        <v>5.021303E9</v>
      </c>
      <c r="L71" s="58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</row>
    <row r="72">
      <c r="A72" s="92"/>
      <c r="B72" s="93"/>
      <c r="C72" s="93"/>
      <c r="D72" s="98"/>
      <c r="E72" s="98"/>
      <c r="F72" s="98"/>
      <c r="G72" s="98"/>
      <c r="H72" s="98"/>
      <c r="I72" s="98"/>
      <c r="J72" s="133" t="s">
        <v>133</v>
      </c>
      <c r="K72" s="134">
        <v>5.021304002E9</v>
      </c>
      <c r="L72" s="58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</row>
    <row r="73">
      <c r="A73" s="92"/>
      <c r="B73" s="93"/>
      <c r="C73" s="93"/>
      <c r="D73" s="98"/>
      <c r="E73" s="98"/>
      <c r="F73" s="98"/>
      <c r="G73" s="98"/>
      <c r="H73" s="98"/>
      <c r="I73" s="98"/>
      <c r="J73" s="133" t="s">
        <v>73</v>
      </c>
      <c r="K73" s="134">
        <v>5.021305002E9</v>
      </c>
      <c r="L73" s="58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</row>
    <row r="74">
      <c r="A74" s="92"/>
      <c r="B74" s="93"/>
      <c r="C74" s="93"/>
      <c r="D74" s="98"/>
      <c r="E74" s="98"/>
      <c r="F74" s="98"/>
      <c r="G74" s="98"/>
      <c r="H74" s="98"/>
      <c r="I74" s="98"/>
      <c r="J74" s="133" t="s">
        <v>134</v>
      </c>
      <c r="K74" s="134">
        <v>5.021502E9</v>
      </c>
      <c r="L74" s="58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</row>
    <row r="75">
      <c r="A75" s="92"/>
      <c r="B75" s="93"/>
      <c r="C75" s="93"/>
      <c r="D75" s="98"/>
      <c r="E75" s="98"/>
      <c r="F75" s="98"/>
      <c r="G75" s="98"/>
      <c r="H75" s="98"/>
      <c r="I75" s="98"/>
      <c r="J75" s="133" t="s">
        <v>63</v>
      </c>
      <c r="K75" s="134">
        <v>5.029902E9</v>
      </c>
      <c r="L75" s="58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</row>
    <row r="76">
      <c r="A76" s="92"/>
      <c r="B76" s="93"/>
      <c r="C76" s="93"/>
      <c r="D76" s="110"/>
      <c r="E76" s="98"/>
      <c r="F76" s="98"/>
      <c r="G76" s="98"/>
      <c r="H76" s="98"/>
      <c r="I76" s="98"/>
      <c r="J76" s="111" t="s">
        <v>100</v>
      </c>
      <c r="K76" s="112"/>
      <c r="L76" s="113">
        <f>SUM(L70:L75)</f>
        <v>0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</row>
    <row r="77">
      <c r="A77" s="114"/>
      <c r="B77" s="115"/>
      <c r="C77" s="115"/>
      <c r="D77" s="115"/>
      <c r="E77" s="115"/>
      <c r="F77" s="116"/>
      <c r="G77" s="117" t="s">
        <v>101</v>
      </c>
      <c r="H77" s="27"/>
      <c r="I77" s="27"/>
      <c r="J77" s="27"/>
      <c r="K77" s="27"/>
      <c r="L77" s="28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</row>
    <row r="78">
      <c r="A78" s="118"/>
      <c r="B78" s="14"/>
      <c r="C78" s="14"/>
      <c r="D78" s="14"/>
      <c r="E78" s="14"/>
      <c r="F78" s="119"/>
      <c r="G78" s="14"/>
      <c r="H78" s="14"/>
      <c r="I78" s="14"/>
      <c r="J78" s="14"/>
      <c r="K78" s="14"/>
      <c r="L78" s="120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</row>
    <row r="79">
      <c r="A79" s="121"/>
      <c r="B79" s="122" t="s">
        <v>102</v>
      </c>
      <c r="D79" s="14"/>
      <c r="E79" s="14"/>
      <c r="F79" s="119"/>
      <c r="G79" s="14"/>
      <c r="H79" s="123" t="s">
        <v>103</v>
      </c>
      <c r="J79" s="14"/>
      <c r="K79" s="14"/>
      <c r="L79" s="120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</row>
    <row r="80">
      <c r="A80" s="121"/>
      <c r="B80" s="124"/>
      <c r="C80" s="124"/>
      <c r="D80" s="14"/>
      <c r="E80" s="14"/>
      <c r="F80" s="119"/>
      <c r="G80" s="14"/>
      <c r="H80" s="125"/>
      <c r="I80" s="125"/>
      <c r="J80" s="14"/>
      <c r="K80" s="14"/>
      <c r="L80" s="120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</row>
    <row r="81">
      <c r="A81" s="118"/>
      <c r="B81" s="14"/>
      <c r="C81" s="126" t="s">
        <v>104</v>
      </c>
      <c r="D81" s="14"/>
      <c r="E81" s="14"/>
      <c r="F81" s="119"/>
      <c r="G81" s="14"/>
      <c r="H81" s="127"/>
      <c r="I81" s="126" t="s">
        <v>105</v>
      </c>
      <c r="K81" s="14"/>
      <c r="L81" s="120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</row>
    <row r="82">
      <c r="A82" s="118"/>
      <c r="B82" s="14"/>
      <c r="C82" s="128" t="s">
        <v>106</v>
      </c>
      <c r="D82" s="14"/>
      <c r="E82" s="14"/>
      <c r="F82" s="119"/>
      <c r="G82" s="14"/>
      <c r="H82" s="14"/>
      <c r="I82" s="128" t="s">
        <v>107</v>
      </c>
      <c r="K82" s="14"/>
      <c r="L82" s="120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</row>
    <row r="83">
      <c r="A83" s="118"/>
      <c r="B83" s="14"/>
      <c r="C83" s="14"/>
      <c r="D83" s="14"/>
      <c r="E83" s="14"/>
      <c r="F83" s="119"/>
      <c r="G83" s="14"/>
      <c r="H83" s="14"/>
      <c r="I83" s="14"/>
      <c r="J83" s="14"/>
      <c r="K83" s="14"/>
      <c r="L83" s="120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</row>
    <row r="84">
      <c r="A84" s="114"/>
      <c r="B84" s="115"/>
      <c r="C84" s="129" t="s">
        <v>108</v>
      </c>
      <c r="D84" s="23"/>
      <c r="E84" s="23"/>
      <c r="F84" s="116"/>
      <c r="G84" s="115"/>
      <c r="H84" s="115"/>
      <c r="I84" s="129" t="s">
        <v>109</v>
      </c>
      <c r="J84" s="23"/>
      <c r="K84" s="115"/>
      <c r="L84" s="130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</row>
    <row r="85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</row>
    <row r="86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</row>
    <row r="87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</row>
    <row r="88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</row>
    <row r="89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</row>
  </sheetData>
  <mergeCells count="37">
    <mergeCell ref="A2:L2"/>
    <mergeCell ref="A3:L3"/>
    <mergeCell ref="J4:L4"/>
    <mergeCell ref="A6:L6"/>
    <mergeCell ref="A8:D8"/>
    <mergeCell ref="I8:L8"/>
    <mergeCell ref="I9:L9"/>
    <mergeCell ref="D15:F15"/>
    <mergeCell ref="D16:F16"/>
    <mergeCell ref="G16:G17"/>
    <mergeCell ref="H16:H17"/>
    <mergeCell ref="I16:I17"/>
    <mergeCell ref="D17:D18"/>
    <mergeCell ref="E17:E18"/>
    <mergeCell ref="J17:J18"/>
    <mergeCell ref="K17:K18"/>
    <mergeCell ref="L17:L18"/>
    <mergeCell ref="A9:D9"/>
    <mergeCell ref="A10:D10"/>
    <mergeCell ref="A11:D11"/>
    <mergeCell ref="A14:A18"/>
    <mergeCell ref="B14:B18"/>
    <mergeCell ref="C14:C18"/>
    <mergeCell ref="D14:F14"/>
    <mergeCell ref="F17:F18"/>
    <mergeCell ref="H79:I79"/>
    <mergeCell ref="I81:J81"/>
    <mergeCell ref="I82:J82"/>
    <mergeCell ref="C84:E84"/>
    <mergeCell ref="I84:J84"/>
    <mergeCell ref="I10:L10"/>
    <mergeCell ref="I11:L11"/>
    <mergeCell ref="I12:L12"/>
    <mergeCell ref="G14:L15"/>
    <mergeCell ref="J16:L16"/>
    <mergeCell ref="G77:L77"/>
    <mergeCell ref="B79:C79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38"/>
  </cols>
  <sheetData>
    <row r="1">
      <c r="A1" s="135" t="s">
        <v>135</v>
      </c>
      <c r="B1" s="135" t="s">
        <v>136</v>
      </c>
    </row>
    <row r="2">
      <c r="A2" s="135" t="s">
        <v>44</v>
      </c>
      <c r="B2" s="135">
        <v>5.020101E9</v>
      </c>
    </row>
    <row r="3">
      <c r="A3" s="135" t="s">
        <v>68</v>
      </c>
      <c r="B3" s="135">
        <v>5.020201E9</v>
      </c>
    </row>
    <row r="4">
      <c r="A4" s="135" t="s">
        <v>19</v>
      </c>
      <c r="B4" s="135">
        <v>5.020301E9</v>
      </c>
    </row>
    <row r="5">
      <c r="A5" s="135" t="s">
        <v>128</v>
      </c>
      <c r="B5" s="135">
        <v>5.020307E9</v>
      </c>
    </row>
    <row r="6">
      <c r="A6" s="135" t="s">
        <v>129</v>
      </c>
      <c r="B6" s="135">
        <v>5.020309E9</v>
      </c>
    </row>
    <row r="7">
      <c r="A7" s="135" t="s">
        <v>50</v>
      </c>
      <c r="B7" s="135">
        <v>5.020399E9</v>
      </c>
    </row>
    <row r="8">
      <c r="A8" s="135" t="s">
        <v>130</v>
      </c>
      <c r="B8" s="135">
        <v>5.020401E9</v>
      </c>
    </row>
    <row r="9">
      <c r="A9" s="135" t="s">
        <v>41</v>
      </c>
      <c r="B9" s="135">
        <v>5.020402E9</v>
      </c>
    </row>
    <row r="10">
      <c r="A10" s="135" t="s">
        <v>95</v>
      </c>
      <c r="B10" s="135">
        <v>5.020501E9</v>
      </c>
    </row>
    <row r="11">
      <c r="A11" s="135" t="s">
        <v>131</v>
      </c>
      <c r="B11" s="135">
        <v>5.020502001E9</v>
      </c>
    </row>
    <row r="12">
      <c r="A12" s="135" t="s">
        <v>38</v>
      </c>
      <c r="B12" s="135">
        <v>5.020503E9</v>
      </c>
    </row>
    <row r="13">
      <c r="A13" s="135" t="s">
        <v>137</v>
      </c>
      <c r="B13" s="135">
        <v>5.020504E9</v>
      </c>
    </row>
    <row r="14">
      <c r="A14" s="135" t="s">
        <v>138</v>
      </c>
      <c r="B14" s="135">
        <v>5.021199E9</v>
      </c>
    </row>
    <row r="15">
      <c r="A15" s="135" t="s">
        <v>21</v>
      </c>
      <c r="B15" s="135">
        <v>5.021202E9</v>
      </c>
    </row>
    <row r="16">
      <c r="A16" s="135" t="s">
        <v>132</v>
      </c>
      <c r="B16" s="135">
        <v>5.021303E9</v>
      </c>
    </row>
    <row r="17">
      <c r="A17" s="135" t="s">
        <v>20</v>
      </c>
      <c r="B17" s="135">
        <v>5.021299E9</v>
      </c>
    </row>
    <row r="18">
      <c r="A18" s="135" t="s">
        <v>133</v>
      </c>
      <c r="B18" s="135">
        <v>5.021304002E9</v>
      </c>
    </row>
    <row r="19">
      <c r="A19" s="135" t="s">
        <v>73</v>
      </c>
      <c r="B19" s="135">
        <v>5.021305002E9</v>
      </c>
    </row>
    <row r="20">
      <c r="A20" s="135" t="s">
        <v>134</v>
      </c>
      <c r="B20" s="135">
        <v>5.021502E9</v>
      </c>
    </row>
    <row r="21">
      <c r="A21" s="135" t="s">
        <v>63</v>
      </c>
      <c r="B21" s="135">
        <v>5.029902E9</v>
      </c>
    </row>
  </sheetData>
  <printOptions gridLines="1" horizontalCentered="1"/>
  <pageMargins bottom="0.75" footer="0.0" header="0.0" left="0.7" right="0.7" top="0.75"/>
  <pageSetup fitToHeight="0" paperSize="5" cellComments="atEnd" orientation="portrait" pageOrder="overThenDown"/>
  <drawing r:id="rId1"/>
</worksheet>
</file>